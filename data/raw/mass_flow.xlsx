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ocal Disk E\Testing data_PM\"/>
    </mc:Choice>
  </mc:AlternateContent>
  <bookViews>
    <workbookView xWindow="0" yWindow="0" windowWidth="24000" windowHeight="9000"/>
  </bookViews>
  <sheets>
    <sheet name="Sheet1" sheetId="1" r:id="rId1"/>
  </sheets>
  <definedNames>
    <definedName name="_xlnm._FilterDatabase" localSheetId="0" hidden="1">Sheet1!$A$1:$S$129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1" l="1"/>
  <c r="K59" i="1"/>
  <c r="K58" i="1"/>
  <c r="K97" i="1"/>
  <c r="K98" i="1"/>
  <c r="K99" i="1"/>
  <c r="K100" i="1"/>
  <c r="K101" i="1"/>
  <c r="K102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65" i="1"/>
  <c r="K66" i="1"/>
  <c r="K67" i="1"/>
  <c r="K64" i="1"/>
  <c r="K63" i="1"/>
  <c r="K62" i="1"/>
  <c r="K61" i="1"/>
  <c r="K57" i="1" l="1"/>
  <c r="K56" i="1"/>
  <c r="K55" i="1"/>
  <c r="K54" i="1"/>
  <c r="K51" i="1"/>
  <c r="K52" i="1"/>
  <c r="K53" i="1"/>
  <c r="E50" i="1" l="1"/>
  <c r="E49" i="1"/>
  <c r="H49" i="1" s="1"/>
  <c r="I49" i="1" s="1"/>
  <c r="J49" i="1" s="1"/>
  <c r="E48" i="1"/>
  <c r="F48" i="1" s="1"/>
  <c r="L48" i="1" s="1"/>
  <c r="E47" i="1"/>
  <c r="H47" i="1" s="1"/>
  <c r="I47" i="1" s="1"/>
  <c r="J47" i="1" s="1"/>
  <c r="E46" i="1"/>
  <c r="E45" i="1"/>
  <c r="H45" i="1" s="1"/>
  <c r="I45" i="1" s="1"/>
  <c r="J45" i="1" s="1"/>
  <c r="E44" i="1"/>
  <c r="F44" i="1" s="1"/>
  <c r="L44" i="1" s="1"/>
  <c r="E43" i="1"/>
  <c r="H43" i="1" s="1"/>
  <c r="I43" i="1" s="1"/>
  <c r="J43" i="1" s="1"/>
  <c r="E42" i="1"/>
  <c r="E41" i="1"/>
  <c r="H41" i="1" s="1"/>
  <c r="I41" i="1" s="1"/>
  <c r="J41" i="1" s="1"/>
  <c r="E40" i="1"/>
  <c r="F40" i="1" s="1"/>
  <c r="L40" i="1" s="1"/>
  <c r="E39" i="1"/>
  <c r="F39" i="1" s="1"/>
  <c r="L39" i="1" s="1"/>
  <c r="E38" i="1"/>
  <c r="E37" i="1"/>
  <c r="H37" i="1" s="1"/>
  <c r="I37" i="1" s="1"/>
  <c r="J37" i="1" s="1"/>
  <c r="E36" i="1"/>
  <c r="F36" i="1" s="1"/>
  <c r="L36" i="1" s="1"/>
  <c r="E35" i="1"/>
  <c r="H35" i="1" s="1"/>
  <c r="I35" i="1" s="1"/>
  <c r="J35" i="1" s="1"/>
  <c r="E34" i="1"/>
  <c r="F34" i="1" s="1"/>
  <c r="L34" i="1" s="1"/>
  <c r="E33" i="1"/>
  <c r="H33" i="1" s="1"/>
  <c r="I33" i="1" s="1"/>
  <c r="J33" i="1" s="1"/>
  <c r="E32" i="1"/>
  <c r="F32" i="1" s="1"/>
  <c r="L32" i="1" s="1"/>
  <c r="E31" i="1"/>
  <c r="F31" i="1" s="1"/>
  <c r="L31" i="1" s="1"/>
  <c r="E30" i="1"/>
  <c r="F30" i="1" s="1"/>
  <c r="L30" i="1" s="1"/>
  <c r="E29" i="1"/>
  <c r="H29" i="1" s="1"/>
  <c r="I29" i="1" s="1"/>
  <c r="J29" i="1" s="1"/>
  <c r="E28" i="1"/>
  <c r="F28" i="1" s="1"/>
  <c r="L28" i="1" s="1"/>
  <c r="E27" i="1"/>
  <c r="F27" i="1" s="1"/>
  <c r="L27" i="1" s="1"/>
  <c r="E26" i="1"/>
  <c r="F26" i="1" s="1"/>
  <c r="L26" i="1" s="1"/>
  <c r="E25" i="1"/>
  <c r="H25" i="1" s="1"/>
  <c r="I25" i="1" s="1"/>
  <c r="J25" i="1" s="1"/>
  <c r="E24" i="1"/>
  <c r="F24" i="1" s="1"/>
  <c r="L24" i="1" s="1"/>
  <c r="E23" i="1"/>
  <c r="H23" i="1" s="1"/>
  <c r="I23" i="1" s="1"/>
  <c r="J23" i="1" s="1"/>
  <c r="E22" i="1"/>
  <c r="F22" i="1" s="1"/>
  <c r="L22" i="1" s="1"/>
  <c r="E21" i="1"/>
  <c r="H21" i="1" s="1"/>
  <c r="I21" i="1" s="1"/>
  <c r="J21" i="1" s="1"/>
  <c r="E20" i="1"/>
  <c r="F20" i="1" s="1"/>
  <c r="L20" i="1" s="1"/>
  <c r="E19" i="1"/>
  <c r="H19" i="1" s="1"/>
  <c r="I19" i="1" s="1"/>
  <c r="J19" i="1" s="1"/>
  <c r="E18" i="1"/>
  <c r="H18" i="1" s="1"/>
  <c r="I18" i="1" s="1"/>
  <c r="J18" i="1" s="1"/>
  <c r="E17" i="1"/>
  <c r="H17" i="1" s="1"/>
  <c r="I17" i="1" s="1"/>
  <c r="J17" i="1" s="1"/>
  <c r="E16" i="1"/>
  <c r="F16" i="1" s="1"/>
  <c r="L16" i="1" s="1"/>
  <c r="E15" i="1"/>
  <c r="H15" i="1" s="1"/>
  <c r="I15" i="1" s="1"/>
  <c r="J15" i="1" s="1"/>
  <c r="E14" i="1"/>
  <c r="F14" i="1" s="1"/>
  <c r="L14" i="1" s="1"/>
  <c r="E13" i="1"/>
  <c r="H13" i="1" s="1"/>
  <c r="I13" i="1" s="1"/>
  <c r="J13" i="1" s="1"/>
  <c r="E12" i="1"/>
  <c r="F12" i="1" s="1"/>
  <c r="L12" i="1" s="1"/>
  <c r="E11" i="1"/>
  <c r="F11" i="1" s="1"/>
  <c r="L11" i="1" s="1"/>
  <c r="E10" i="1"/>
  <c r="H10" i="1" s="1"/>
  <c r="I10" i="1" s="1"/>
  <c r="J10" i="1" s="1"/>
  <c r="E9" i="1"/>
  <c r="H9" i="1" s="1"/>
  <c r="I9" i="1" s="1"/>
  <c r="J9" i="1" s="1"/>
  <c r="E8" i="1"/>
  <c r="F8" i="1" s="1"/>
  <c r="L8" i="1" s="1"/>
  <c r="E7" i="1"/>
  <c r="H7" i="1" s="1"/>
  <c r="I7" i="1" s="1"/>
  <c r="J7" i="1" s="1"/>
  <c r="E6" i="1"/>
  <c r="F6" i="1" s="1"/>
  <c r="L6" i="1" s="1"/>
  <c r="E5" i="1"/>
  <c r="H5" i="1" s="1"/>
  <c r="I5" i="1" s="1"/>
  <c r="J5" i="1" s="1"/>
  <c r="H11" i="1" l="1"/>
  <c r="I11" i="1" s="1"/>
  <c r="J11" i="1" s="1"/>
  <c r="H14" i="1"/>
  <c r="I14" i="1" s="1"/>
  <c r="J14" i="1" s="1"/>
  <c r="K14" i="1" s="1"/>
  <c r="H20" i="1"/>
  <c r="I20" i="1" s="1"/>
  <c r="J20" i="1" s="1"/>
  <c r="K20" i="1" s="1"/>
  <c r="F9" i="1"/>
  <c r="L9" i="1" s="1"/>
  <c r="K9" i="1" s="1"/>
  <c r="F18" i="1"/>
  <c r="L18" i="1" s="1"/>
  <c r="H31" i="1"/>
  <c r="I31" i="1" s="1"/>
  <c r="J31" i="1" s="1"/>
  <c r="K31" i="1" s="1"/>
  <c r="F21" i="1"/>
  <c r="L21" i="1" s="1"/>
  <c r="K21" i="1" s="1"/>
  <c r="F7" i="1"/>
  <c r="L7" i="1" s="1"/>
  <c r="K7" i="1" s="1"/>
  <c r="F29" i="1"/>
  <c r="L29" i="1" s="1"/>
  <c r="K29" i="1" s="1"/>
  <c r="H36" i="1"/>
  <c r="I36" i="1" s="1"/>
  <c r="J36" i="1" s="1"/>
  <c r="K36" i="1" s="1"/>
  <c r="F19" i="1"/>
  <c r="L19" i="1" s="1"/>
  <c r="K19" i="1" s="1"/>
  <c r="H27" i="1"/>
  <c r="I27" i="1" s="1"/>
  <c r="J27" i="1" s="1"/>
  <c r="K27" i="1" s="1"/>
  <c r="F35" i="1"/>
  <c r="L35" i="1" s="1"/>
  <c r="K35" i="1" s="1"/>
  <c r="H39" i="1"/>
  <c r="I39" i="1" s="1"/>
  <c r="J39" i="1" s="1"/>
  <c r="K39" i="1" s="1"/>
  <c r="K11" i="1"/>
  <c r="F10" i="1"/>
  <c r="L10" i="1" s="1"/>
  <c r="K10" i="1" s="1"/>
  <c r="F15" i="1"/>
  <c r="L15" i="1" s="1"/>
  <c r="K15" i="1" s="1"/>
  <c r="F17" i="1"/>
  <c r="L17" i="1" s="1"/>
  <c r="K17" i="1" s="1"/>
  <c r="H22" i="1"/>
  <c r="I22" i="1" s="1"/>
  <c r="J22" i="1" s="1"/>
  <c r="K22" i="1" s="1"/>
  <c r="F23" i="1"/>
  <c r="L23" i="1" s="1"/>
  <c r="K23" i="1" s="1"/>
  <c r="H24" i="1"/>
  <c r="I24" i="1" s="1"/>
  <c r="J24" i="1" s="1"/>
  <c r="H26" i="1"/>
  <c r="I26" i="1" s="1"/>
  <c r="J26" i="1" s="1"/>
  <c r="K26" i="1" s="1"/>
  <c r="F41" i="1"/>
  <c r="L41" i="1" s="1"/>
  <c r="K41" i="1" s="1"/>
  <c r="F43" i="1"/>
  <c r="L43" i="1" s="1"/>
  <c r="K43" i="1" s="1"/>
  <c r="H44" i="1"/>
  <c r="I44" i="1" s="1"/>
  <c r="J44" i="1" s="1"/>
  <c r="K44" i="1" s="1"/>
  <c r="F33" i="1"/>
  <c r="L33" i="1" s="1"/>
  <c r="K33" i="1" s="1"/>
  <c r="F47" i="1"/>
  <c r="L47" i="1" s="1"/>
  <c r="K47" i="1" s="1"/>
  <c r="F49" i="1"/>
  <c r="L49" i="1" s="1"/>
  <c r="K49" i="1" s="1"/>
  <c r="H6" i="1"/>
  <c r="I6" i="1" s="1"/>
  <c r="J6" i="1" s="1"/>
  <c r="K6" i="1" s="1"/>
  <c r="H12" i="1"/>
  <c r="I12" i="1" s="1"/>
  <c r="J12" i="1" s="1"/>
  <c r="K12" i="1" s="1"/>
  <c r="F25" i="1"/>
  <c r="L25" i="1" s="1"/>
  <c r="K25" i="1" s="1"/>
  <c r="F37" i="1"/>
  <c r="L37" i="1" s="1"/>
  <c r="K37" i="1" s="1"/>
  <c r="H40" i="1"/>
  <c r="I40" i="1" s="1"/>
  <c r="J40" i="1" s="1"/>
  <c r="K40" i="1" s="1"/>
  <c r="F45" i="1"/>
  <c r="L45" i="1" s="1"/>
  <c r="K45" i="1" s="1"/>
  <c r="H48" i="1"/>
  <c r="I48" i="1" s="1"/>
  <c r="J48" i="1" s="1"/>
  <c r="K48" i="1" s="1"/>
  <c r="K24" i="1"/>
  <c r="K18" i="1"/>
  <c r="F5" i="1"/>
  <c r="L5" i="1" s="1"/>
  <c r="K5" i="1" s="1"/>
  <c r="F13" i="1"/>
  <c r="L13" i="1" s="1"/>
  <c r="K13" i="1" s="1"/>
  <c r="H28" i="1"/>
  <c r="I28" i="1" s="1"/>
  <c r="J28" i="1" s="1"/>
  <c r="K28" i="1" s="1"/>
  <c r="H30" i="1"/>
  <c r="I30" i="1" s="1"/>
  <c r="J30" i="1" s="1"/>
  <c r="K30" i="1" s="1"/>
  <c r="F42" i="1"/>
  <c r="L42" i="1" s="1"/>
  <c r="H42" i="1"/>
  <c r="I42" i="1" s="1"/>
  <c r="J42" i="1" s="1"/>
  <c r="F38" i="1"/>
  <c r="L38" i="1" s="1"/>
  <c r="H38" i="1"/>
  <c r="I38" i="1" s="1"/>
  <c r="J38" i="1" s="1"/>
  <c r="H8" i="1"/>
  <c r="I8" i="1" s="1"/>
  <c r="J8" i="1" s="1"/>
  <c r="K8" i="1" s="1"/>
  <c r="H16" i="1"/>
  <c r="I16" i="1" s="1"/>
  <c r="J16" i="1" s="1"/>
  <c r="K16" i="1" s="1"/>
  <c r="H32" i="1"/>
  <c r="I32" i="1" s="1"/>
  <c r="J32" i="1" s="1"/>
  <c r="K32" i="1" s="1"/>
  <c r="H34" i="1"/>
  <c r="I34" i="1" s="1"/>
  <c r="J34" i="1" s="1"/>
  <c r="K34" i="1" s="1"/>
  <c r="F46" i="1"/>
  <c r="L46" i="1" s="1"/>
  <c r="H46" i="1"/>
  <c r="I46" i="1" s="1"/>
  <c r="J46" i="1" s="1"/>
  <c r="F50" i="1"/>
  <c r="L50" i="1" s="1"/>
  <c r="H50" i="1"/>
  <c r="I50" i="1" s="1"/>
  <c r="J50" i="1" s="1"/>
  <c r="K42" i="1" l="1"/>
  <c r="K50" i="1"/>
  <c r="K46" i="1"/>
  <c r="K38" i="1"/>
</calcChain>
</file>

<file path=xl/sharedStrings.xml><?xml version="1.0" encoding="utf-8"?>
<sst xmlns="http://schemas.openxmlformats.org/spreadsheetml/2006/main" count="287" uniqueCount="51">
  <si>
    <t>Customer Given</t>
  </si>
  <si>
    <t xml:space="preserve">Calculation for Mass Flow Hopper Design </t>
  </si>
  <si>
    <t>Software Output</t>
  </si>
  <si>
    <t xml:space="preserve">Range (PSD): </t>
  </si>
  <si>
    <t>0-50, 50-100; like that</t>
  </si>
  <si>
    <t>Option:</t>
  </si>
  <si>
    <t>Choosable</t>
  </si>
  <si>
    <t xml:space="preserve">Range </t>
  </si>
  <si>
    <t>Option</t>
  </si>
  <si>
    <t>Mass Flow Hopper</t>
  </si>
  <si>
    <t>(mass/volume)*1000</t>
  </si>
  <si>
    <t>(tapped / bulk density)</t>
  </si>
  <si>
    <t>PSD</t>
  </si>
  <si>
    <t>Conical Hopper</t>
  </si>
  <si>
    <t>Plane Hopper</t>
  </si>
  <si>
    <t>Sl no</t>
  </si>
  <si>
    <t>Empty cyln wt (g)</t>
  </si>
  <si>
    <t>wt of filled cylinder (g)</t>
  </si>
  <si>
    <t>vol (ml)</t>
  </si>
  <si>
    <t>mass of ash (g)</t>
  </si>
  <si>
    <t>density (g/ml)</t>
  </si>
  <si>
    <t>Tapped Density - ρt (kg/m3)</t>
  </si>
  <si>
    <t>Hausner Ratio</t>
  </si>
  <si>
    <t>Bulk Density - ρb (kg/m3)</t>
  </si>
  <si>
    <r>
      <t>d50 (</t>
    </r>
    <r>
      <rPr>
        <b/>
        <sz val="11"/>
        <color theme="1"/>
        <rFont val="Calibri"/>
        <family val="2"/>
      </rPr>
      <t>µm)</t>
    </r>
  </si>
  <si>
    <t xml:space="preserve">Shape </t>
  </si>
  <si>
    <t>Flowability</t>
  </si>
  <si>
    <r>
      <t>Half Angle (</t>
    </r>
    <r>
      <rPr>
        <b/>
        <sz val="11"/>
        <color theme="1"/>
        <rFont val="Cambria"/>
        <family val="1"/>
      </rPr>
      <t>°</t>
    </r>
    <r>
      <rPr>
        <b/>
        <sz val="11"/>
        <color theme="1"/>
        <rFont val="Calibri"/>
        <family val="2"/>
      </rPr>
      <t>)</t>
    </r>
  </si>
  <si>
    <t>Outlet Dimension
NB</t>
  </si>
  <si>
    <t xml:space="preserve">Irregular </t>
  </si>
  <si>
    <t>Very Very Poor</t>
  </si>
  <si>
    <t>Spherical</t>
  </si>
  <si>
    <t>Passsable</t>
  </si>
  <si>
    <t>Irregular and angular</t>
  </si>
  <si>
    <t>Oval</t>
  </si>
  <si>
    <t>Excellent</t>
  </si>
  <si>
    <t>Irregular</t>
  </si>
  <si>
    <t>Good</t>
  </si>
  <si>
    <t>Crystalline</t>
  </si>
  <si>
    <t>Lens Shaped</t>
  </si>
  <si>
    <t>Poor</t>
  </si>
  <si>
    <t>Cuboida</t>
  </si>
  <si>
    <t>Fair</t>
  </si>
  <si>
    <t>Elongated</t>
  </si>
  <si>
    <t>Semi Rounded</t>
  </si>
  <si>
    <t>Angular</t>
  </si>
  <si>
    <t>Fibre</t>
  </si>
  <si>
    <t>Tomahawk</t>
  </si>
  <si>
    <t>Granular</t>
  </si>
  <si>
    <t>Needle</t>
  </si>
  <si>
    <t>Very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</si>
</sst>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0" fontId="2" fillId="4" borderId="1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4" borderId="0" xfId="0" applyFont="1" applyFill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1" fillId="4" borderId="2" xfId="0" applyFont="1" applyFill="1" applyBorder="1" applyAlignment="1">
      <alignment horizontal="center"/>
    </xf>
    <xf numFmtId="0" fontId="0" fillId="5" borderId="0" xfId="0" applyFill="1"/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2" fontId="0" fillId="0" borderId="1" xfId="0" applyNumberFormat="1" applyFill="1" applyBorder="1"/>
    <xf numFmtId="0" fontId="1" fillId="4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9"/>
  <sheetViews>
    <sheetView tabSelected="1" topLeftCell="E1" zoomScaleNormal="100" workbookViewId="0">
      <pane ySplit="4" topLeftCell="A47" activePane="bottomLeft" state="frozen"/>
      <selection pane="bottomLeft" activeCell="R14" sqref="R14"/>
    </sheetView>
  </sheetViews>
  <sheetFormatPr defaultRowHeight="15" x14ac:dyDescent="0.25"/>
  <cols>
    <col min="1" max="1" width="5.28515625" bestFit="1" customWidth="1"/>
    <col min="2" max="2" width="19.5703125" bestFit="1" customWidth="1"/>
    <col min="3" max="3" width="16.28515625" bestFit="1" customWidth="1"/>
    <col min="4" max="4" width="21.5703125" bestFit="1" customWidth="1"/>
    <col min="5" max="5" width="7.85546875" bestFit="1" customWidth="1"/>
    <col min="6" max="6" width="14.140625" bestFit="1" customWidth="1"/>
    <col min="7" max="7" width="0.42578125" style="26" customWidth="1"/>
    <col min="8" max="8" width="7.85546875" bestFit="1" customWidth="1"/>
    <col min="9" max="9" width="14.140625" bestFit="1" customWidth="1"/>
    <col min="10" max="10" width="13.7109375" bestFit="1" customWidth="1"/>
    <col min="11" max="11" width="19.7109375" bestFit="1" customWidth="1"/>
    <col min="12" max="12" width="21.7109375" bestFit="1" customWidth="1"/>
    <col min="13" max="13" width="19.7109375" style="6" bestFit="1" customWidth="1"/>
    <col min="14" max="14" width="9.140625" style="6"/>
    <col min="15" max="15" width="19.5703125" style="6" bestFit="1" customWidth="1"/>
    <col min="16" max="16" width="14.42578125" style="24" bestFit="1" customWidth="1"/>
    <col min="17" max="17" width="12.85546875" style="24" bestFit="1" customWidth="1"/>
    <col min="18" max="18" width="12.85546875" style="24" customWidth="1"/>
    <col min="19" max="19" width="16.85546875" style="24" bestFit="1" customWidth="1"/>
  </cols>
  <sheetData>
    <row r="1" spans="1:19" ht="19.5" thickBot="1" x14ac:dyDescent="0.35">
      <c r="A1" s="1"/>
      <c r="B1" s="2" t="s">
        <v>0</v>
      </c>
      <c r="C1" s="31" t="s">
        <v>1</v>
      </c>
      <c r="D1" s="32"/>
      <c r="E1" s="32"/>
      <c r="F1" s="32"/>
      <c r="G1" s="33"/>
      <c r="H1" s="33"/>
      <c r="I1" s="33"/>
      <c r="J1" s="33"/>
      <c r="K1" s="33"/>
      <c r="L1" s="34"/>
      <c r="N1" s="7" t="s">
        <v>7</v>
      </c>
      <c r="O1" s="39" t="s">
        <v>2</v>
      </c>
      <c r="P1" s="39"/>
      <c r="Q1" s="39"/>
      <c r="R1" s="39"/>
      <c r="S1" s="39"/>
    </row>
    <row r="2" spans="1:19" ht="15.75" customHeight="1" x14ac:dyDescent="0.25">
      <c r="A2" s="3"/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L2" s="38" t="s">
        <v>0</v>
      </c>
      <c r="M2" s="38"/>
      <c r="N2" s="38"/>
      <c r="O2" s="30" t="s">
        <v>8</v>
      </c>
      <c r="P2" s="8"/>
      <c r="Q2" s="35" t="s">
        <v>9</v>
      </c>
      <c r="R2" s="35"/>
      <c r="S2" s="35"/>
    </row>
    <row r="3" spans="1:19" x14ac:dyDescent="0.25">
      <c r="K3" t="s">
        <v>10</v>
      </c>
      <c r="L3" t="s">
        <v>11</v>
      </c>
      <c r="M3" s="6" t="s">
        <v>10</v>
      </c>
      <c r="N3" s="7" t="s">
        <v>12</v>
      </c>
      <c r="O3" s="8"/>
      <c r="P3" s="8"/>
      <c r="Q3" s="36" t="s">
        <v>13</v>
      </c>
      <c r="R3" s="37"/>
      <c r="S3" s="25" t="s">
        <v>14</v>
      </c>
    </row>
    <row r="4" spans="1:19" s="18" customFormat="1" ht="45" x14ac:dyDescent="0.25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27" t="s">
        <v>18</v>
      </c>
      <c r="H4" s="9" t="s">
        <v>19</v>
      </c>
      <c r="I4" s="9" t="s">
        <v>20</v>
      </c>
      <c r="J4" s="10" t="s">
        <v>21</v>
      </c>
      <c r="K4" s="11" t="s">
        <v>22</v>
      </c>
      <c r="L4" s="12" t="s">
        <v>23</v>
      </c>
      <c r="M4" s="13" t="s">
        <v>24</v>
      </c>
      <c r="N4" s="14" t="s">
        <v>25</v>
      </c>
      <c r="O4" s="15" t="s">
        <v>26</v>
      </c>
      <c r="P4" s="16" t="s">
        <v>27</v>
      </c>
      <c r="Q4" s="17" t="s">
        <v>28</v>
      </c>
      <c r="R4" s="16" t="s">
        <v>27</v>
      </c>
      <c r="S4" s="17" t="s">
        <v>28</v>
      </c>
    </row>
    <row r="5" spans="1:19" x14ac:dyDescent="0.25">
      <c r="A5" s="19">
        <v>1</v>
      </c>
      <c r="B5" s="19">
        <v>38.051000000000002</v>
      </c>
      <c r="C5" s="19">
        <v>123.35</v>
      </c>
      <c r="D5" s="19">
        <v>100</v>
      </c>
      <c r="E5" s="19">
        <f>C5-B5</f>
        <v>85.298999999999992</v>
      </c>
      <c r="F5" s="19">
        <f>E5/D5</f>
        <v>0.85298999999999991</v>
      </c>
      <c r="G5" s="28">
        <v>59</v>
      </c>
      <c r="H5" s="19">
        <f t="shared" ref="H5:H36" si="0">E5</f>
        <v>85.298999999999992</v>
      </c>
      <c r="I5" s="19">
        <f>H5/G5</f>
        <v>1.4457457627118642</v>
      </c>
      <c r="J5" s="20">
        <f>I5*1000</f>
        <v>1445.7457627118642</v>
      </c>
      <c r="K5" s="20">
        <f>J5/L5</f>
        <v>1.6949152542372881</v>
      </c>
      <c r="L5" s="21">
        <f t="shared" ref="L5:L50" si="1">F5*1000</f>
        <v>852.9899999999999</v>
      </c>
      <c r="M5" s="22">
        <v>74</v>
      </c>
      <c r="N5" s="21" t="s">
        <v>29</v>
      </c>
      <c r="O5" s="23" t="s">
        <v>30</v>
      </c>
      <c r="P5" s="23">
        <v>23</v>
      </c>
      <c r="Q5" s="23">
        <v>250</v>
      </c>
      <c r="R5" s="23">
        <v>30</v>
      </c>
      <c r="S5" s="23">
        <v>200</v>
      </c>
    </row>
    <row r="6" spans="1:19" x14ac:dyDescent="0.25">
      <c r="A6" s="19">
        <v>2</v>
      </c>
      <c r="B6" s="19">
        <v>38.051000000000002</v>
      </c>
      <c r="C6" s="19">
        <v>381.49799999999999</v>
      </c>
      <c r="D6" s="19">
        <v>100</v>
      </c>
      <c r="E6" s="19">
        <f>C6-B6</f>
        <v>343.447</v>
      </c>
      <c r="F6" s="19">
        <f>E6/D6</f>
        <v>3.4344700000000001</v>
      </c>
      <c r="G6" s="28">
        <v>79</v>
      </c>
      <c r="H6" s="19">
        <f t="shared" si="0"/>
        <v>343.447</v>
      </c>
      <c r="I6" s="19">
        <f>H6/G6</f>
        <v>4.3474303797468359</v>
      </c>
      <c r="J6" s="20">
        <f>I6*1000</f>
        <v>4347.4303797468356</v>
      </c>
      <c r="K6" s="20">
        <f>J6/L6</f>
        <v>1.2658227848101264</v>
      </c>
      <c r="L6" s="21">
        <f t="shared" si="1"/>
        <v>3434.4700000000003</v>
      </c>
      <c r="M6" s="22">
        <v>71</v>
      </c>
      <c r="N6" s="21" t="s">
        <v>31</v>
      </c>
      <c r="O6" s="23" t="s">
        <v>32</v>
      </c>
      <c r="P6" s="23">
        <v>25</v>
      </c>
      <c r="Q6" s="23">
        <v>80</v>
      </c>
      <c r="R6" s="23">
        <v>32</v>
      </c>
      <c r="S6" s="23">
        <v>50</v>
      </c>
    </row>
    <row r="7" spans="1:19" x14ac:dyDescent="0.25">
      <c r="A7" s="19">
        <v>3</v>
      </c>
      <c r="B7" s="19">
        <v>38.051000000000002</v>
      </c>
      <c r="C7" s="19">
        <v>50.036000000000001</v>
      </c>
      <c r="D7" s="19">
        <v>100</v>
      </c>
      <c r="E7" s="19">
        <f t="shared" ref="E7:E50" si="2">C7-B7</f>
        <v>11.984999999999999</v>
      </c>
      <c r="F7" s="19">
        <f t="shared" ref="F7:F50" si="3">E7/D7</f>
        <v>0.11985</v>
      </c>
      <c r="G7" s="28">
        <v>54</v>
      </c>
      <c r="H7" s="19">
        <f t="shared" si="0"/>
        <v>11.984999999999999</v>
      </c>
      <c r="I7" s="19">
        <f t="shared" ref="I7:I50" si="4">H7/G7</f>
        <v>0.22194444444444444</v>
      </c>
      <c r="J7" s="20">
        <f t="shared" ref="J7:J50" si="5">I7*1000</f>
        <v>221.94444444444446</v>
      </c>
      <c r="K7" s="20">
        <f t="shared" ref="K7:K73" si="6">J7/L7</f>
        <v>1.8518518518518521</v>
      </c>
      <c r="L7" s="21">
        <f t="shared" si="1"/>
        <v>119.85</v>
      </c>
      <c r="M7" s="22">
        <v>128</v>
      </c>
      <c r="N7" s="21" t="s">
        <v>33</v>
      </c>
      <c r="O7" s="23" t="s">
        <v>30</v>
      </c>
      <c r="P7" s="23">
        <v>32</v>
      </c>
      <c r="Q7" s="23">
        <v>600</v>
      </c>
      <c r="R7" s="23">
        <v>41</v>
      </c>
      <c r="S7" s="23">
        <v>550</v>
      </c>
    </row>
    <row r="8" spans="1:19" x14ac:dyDescent="0.25">
      <c r="A8" s="19">
        <v>4</v>
      </c>
      <c r="B8" s="19">
        <v>38.051000000000002</v>
      </c>
      <c r="C8" s="19">
        <v>49.91</v>
      </c>
      <c r="D8" s="19">
        <v>100</v>
      </c>
      <c r="E8" s="19">
        <f t="shared" si="2"/>
        <v>11.858999999999995</v>
      </c>
      <c r="F8" s="19">
        <f t="shared" si="3"/>
        <v>0.11858999999999995</v>
      </c>
      <c r="G8" s="28">
        <v>57</v>
      </c>
      <c r="H8" s="19">
        <f t="shared" si="0"/>
        <v>11.858999999999995</v>
      </c>
      <c r="I8" s="19">
        <f t="shared" si="4"/>
        <v>0.20805263157894727</v>
      </c>
      <c r="J8" s="20">
        <f t="shared" si="5"/>
        <v>208.05263157894726</v>
      </c>
      <c r="K8" s="20">
        <f t="shared" si="6"/>
        <v>1.7543859649122806</v>
      </c>
      <c r="L8" s="21">
        <f t="shared" si="1"/>
        <v>118.58999999999995</v>
      </c>
      <c r="M8" s="22">
        <v>502</v>
      </c>
      <c r="N8" s="21" t="s">
        <v>33</v>
      </c>
      <c r="O8" s="23" t="s">
        <v>30</v>
      </c>
      <c r="P8" s="23">
        <v>33</v>
      </c>
      <c r="Q8" s="23">
        <v>600</v>
      </c>
      <c r="R8" s="23">
        <v>42</v>
      </c>
      <c r="S8" s="23">
        <v>300</v>
      </c>
    </row>
    <row r="9" spans="1:19" x14ac:dyDescent="0.25">
      <c r="A9" s="19">
        <v>5</v>
      </c>
      <c r="B9" s="19">
        <v>38.051000000000002</v>
      </c>
      <c r="C9" s="19">
        <v>109.619</v>
      </c>
      <c r="D9" s="19">
        <v>100</v>
      </c>
      <c r="E9" s="19">
        <f t="shared" si="2"/>
        <v>71.567999999999998</v>
      </c>
      <c r="F9" s="19">
        <f t="shared" si="3"/>
        <v>0.71567999999999998</v>
      </c>
      <c r="G9" s="28">
        <v>90</v>
      </c>
      <c r="H9" s="19">
        <f t="shared" si="0"/>
        <v>71.567999999999998</v>
      </c>
      <c r="I9" s="19">
        <f t="shared" si="4"/>
        <v>0.79520000000000002</v>
      </c>
      <c r="J9" s="20">
        <f t="shared" si="5"/>
        <v>795.2</v>
      </c>
      <c r="K9" s="20">
        <f t="shared" si="6"/>
        <v>1.1111111111111112</v>
      </c>
      <c r="L9" s="21">
        <f t="shared" si="1"/>
        <v>715.68</v>
      </c>
      <c r="M9" s="22">
        <v>72</v>
      </c>
      <c r="N9" s="21" t="s">
        <v>34</v>
      </c>
      <c r="O9" s="23" t="s">
        <v>35</v>
      </c>
      <c r="P9" s="23">
        <v>46</v>
      </c>
      <c r="Q9" s="23">
        <v>80</v>
      </c>
      <c r="R9" s="23">
        <v>47</v>
      </c>
      <c r="S9" s="23">
        <v>50</v>
      </c>
    </row>
    <row r="10" spans="1:19" x14ac:dyDescent="0.25">
      <c r="A10" s="19">
        <v>6</v>
      </c>
      <c r="B10" s="19">
        <v>38.051000000000002</v>
      </c>
      <c r="C10" s="19">
        <v>84.948999999999998</v>
      </c>
      <c r="D10" s="19">
        <v>100</v>
      </c>
      <c r="E10" s="19">
        <f t="shared" si="2"/>
        <v>46.897999999999996</v>
      </c>
      <c r="F10" s="19">
        <f t="shared" si="3"/>
        <v>0.46897999999999995</v>
      </c>
      <c r="G10" s="28">
        <v>59</v>
      </c>
      <c r="H10" s="19">
        <f t="shared" si="0"/>
        <v>46.897999999999996</v>
      </c>
      <c r="I10" s="19">
        <f t="shared" si="4"/>
        <v>0.79488135593220333</v>
      </c>
      <c r="J10" s="20">
        <f t="shared" si="5"/>
        <v>794.88135593220329</v>
      </c>
      <c r="K10" s="20">
        <f t="shared" si="6"/>
        <v>1.6949152542372881</v>
      </c>
      <c r="L10" s="21">
        <f t="shared" si="1"/>
        <v>468.97999999999996</v>
      </c>
      <c r="M10" s="22">
        <v>97</v>
      </c>
      <c r="N10" s="21" t="s">
        <v>36</v>
      </c>
      <c r="O10" s="23" t="s">
        <v>30</v>
      </c>
      <c r="P10" s="23">
        <v>32</v>
      </c>
      <c r="Q10" s="23">
        <v>500</v>
      </c>
      <c r="R10" s="23">
        <v>40</v>
      </c>
      <c r="S10" s="23">
        <v>250</v>
      </c>
    </row>
    <row r="11" spans="1:19" x14ac:dyDescent="0.25">
      <c r="A11" s="19">
        <v>7</v>
      </c>
      <c r="B11" s="19">
        <v>38.051000000000002</v>
      </c>
      <c r="C11" s="19">
        <v>108.43600000000001</v>
      </c>
      <c r="D11" s="19">
        <v>100</v>
      </c>
      <c r="E11" s="19">
        <f t="shared" si="2"/>
        <v>70.385000000000005</v>
      </c>
      <c r="F11" s="19">
        <f t="shared" si="3"/>
        <v>0.70385000000000009</v>
      </c>
      <c r="G11" s="28">
        <v>88</v>
      </c>
      <c r="H11" s="19">
        <f t="shared" si="0"/>
        <v>70.385000000000005</v>
      </c>
      <c r="I11" s="19">
        <f t="shared" si="4"/>
        <v>0.79982954545454554</v>
      </c>
      <c r="J11" s="20">
        <f t="shared" si="5"/>
        <v>799.8295454545455</v>
      </c>
      <c r="K11" s="20">
        <f t="shared" si="6"/>
        <v>1.1363636363636362</v>
      </c>
      <c r="L11" s="21">
        <f t="shared" si="1"/>
        <v>703.85000000000014</v>
      </c>
      <c r="M11" s="22">
        <v>72</v>
      </c>
      <c r="N11" s="21" t="s">
        <v>36</v>
      </c>
      <c r="O11" s="23" t="s">
        <v>37</v>
      </c>
      <c r="P11" s="23">
        <v>38</v>
      </c>
      <c r="Q11" s="23">
        <v>80</v>
      </c>
      <c r="R11" s="23">
        <v>44</v>
      </c>
      <c r="S11" s="23">
        <v>50</v>
      </c>
    </row>
    <row r="12" spans="1:19" x14ac:dyDescent="0.25">
      <c r="A12" s="19">
        <v>8</v>
      </c>
      <c r="B12" s="19">
        <v>38.051000000000002</v>
      </c>
      <c r="C12" s="19">
        <v>82.356999999999999</v>
      </c>
      <c r="D12" s="19">
        <v>100</v>
      </c>
      <c r="E12" s="19">
        <f t="shared" si="2"/>
        <v>44.305999999999997</v>
      </c>
      <c r="F12" s="19">
        <f t="shared" si="3"/>
        <v>0.44305999999999995</v>
      </c>
      <c r="G12" s="28">
        <v>54</v>
      </c>
      <c r="H12" s="19">
        <f t="shared" si="0"/>
        <v>44.305999999999997</v>
      </c>
      <c r="I12" s="19">
        <f t="shared" si="4"/>
        <v>0.82048148148148148</v>
      </c>
      <c r="J12" s="20">
        <f t="shared" si="5"/>
        <v>820.48148148148152</v>
      </c>
      <c r="K12" s="20">
        <f t="shared" si="6"/>
        <v>1.8518518518518521</v>
      </c>
      <c r="L12" s="21">
        <f t="shared" si="1"/>
        <v>443.05999999999995</v>
      </c>
      <c r="M12" s="22">
        <v>188</v>
      </c>
      <c r="N12" s="21" t="s">
        <v>36</v>
      </c>
      <c r="O12" s="23" t="s">
        <v>30</v>
      </c>
      <c r="P12" s="23">
        <v>34</v>
      </c>
      <c r="Q12" s="23">
        <v>350</v>
      </c>
      <c r="R12" s="23">
        <v>42</v>
      </c>
      <c r="S12" s="23">
        <v>250</v>
      </c>
    </row>
    <row r="13" spans="1:19" x14ac:dyDescent="0.25">
      <c r="A13" s="19">
        <v>9</v>
      </c>
      <c r="B13" s="19">
        <v>38.051000000000002</v>
      </c>
      <c r="C13" s="19">
        <v>81.710999999999999</v>
      </c>
      <c r="D13" s="19">
        <v>100</v>
      </c>
      <c r="E13" s="19">
        <f t="shared" si="2"/>
        <v>43.66</v>
      </c>
      <c r="F13" s="19">
        <f t="shared" si="3"/>
        <v>0.43659999999999999</v>
      </c>
      <c r="G13" s="28">
        <v>62</v>
      </c>
      <c r="H13" s="19">
        <f t="shared" si="0"/>
        <v>43.66</v>
      </c>
      <c r="I13" s="19">
        <f t="shared" si="4"/>
        <v>0.70419354838709669</v>
      </c>
      <c r="J13" s="20">
        <f t="shared" si="5"/>
        <v>704.19354838709671</v>
      </c>
      <c r="K13" s="20">
        <f t="shared" si="6"/>
        <v>1.6129032258064515</v>
      </c>
      <c r="L13" s="21">
        <f t="shared" si="1"/>
        <v>436.59999999999997</v>
      </c>
      <c r="M13" s="22">
        <v>10</v>
      </c>
      <c r="N13" s="21" t="s">
        <v>36</v>
      </c>
      <c r="O13" s="23" t="s">
        <v>30</v>
      </c>
      <c r="P13" s="23">
        <v>36</v>
      </c>
      <c r="Q13" s="23">
        <v>400</v>
      </c>
      <c r="R13" s="23">
        <v>44</v>
      </c>
      <c r="S13" s="23">
        <v>200</v>
      </c>
    </row>
    <row r="14" spans="1:19" x14ac:dyDescent="0.25">
      <c r="A14" s="19">
        <v>10</v>
      </c>
      <c r="B14" s="19">
        <v>38.051000000000002</v>
      </c>
      <c r="C14" s="19">
        <v>153.71700000000001</v>
      </c>
      <c r="D14" s="19">
        <v>100</v>
      </c>
      <c r="E14" s="19">
        <f t="shared" si="2"/>
        <v>115.66600000000001</v>
      </c>
      <c r="F14" s="19">
        <f t="shared" si="3"/>
        <v>1.15666</v>
      </c>
      <c r="G14" s="28">
        <v>93</v>
      </c>
      <c r="H14" s="19">
        <f t="shared" si="0"/>
        <v>115.66600000000001</v>
      </c>
      <c r="I14" s="19">
        <f t="shared" si="4"/>
        <v>1.2437204301075271</v>
      </c>
      <c r="J14" s="20">
        <f t="shared" si="5"/>
        <v>1243.7204301075271</v>
      </c>
      <c r="K14" s="20">
        <f t="shared" si="6"/>
        <v>1.0752688172043012</v>
      </c>
      <c r="L14" s="21">
        <f t="shared" si="1"/>
        <v>1156.6600000000001</v>
      </c>
      <c r="M14" s="22">
        <v>208</v>
      </c>
      <c r="N14" s="21" t="s">
        <v>38</v>
      </c>
      <c r="O14" s="23" t="s">
        <v>35</v>
      </c>
      <c r="P14" s="23">
        <v>34</v>
      </c>
      <c r="Q14" s="23">
        <v>80</v>
      </c>
      <c r="R14" s="23">
        <v>40</v>
      </c>
      <c r="S14" s="23">
        <v>50</v>
      </c>
    </row>
    <row r="15" spans="1:19" x14ac:dyDescent="0.25">
      <c r="A15" s="19">
        <v>11</v>
      </c>
      <c r="B15" s="19">
        <v>38.051000000000002</v>
      </c>
      <c r="C15" s="19">
        <v>151.32300000000001</v>
      </c>
      <c r="D15" s="19">
        <v>100</v>
      </c>
      <c r="E15" s="19">
        <f t="shared" si="2"/>
        <v>113.27200000000001</v>
      </c>
      <c r="F15" s="19">
        <f t="shared" si="3"/>
        <v>1.1327199999999999</v>
      </c>
      <c r="G15" s="28">
        <v>87</v>
      </c>
      <c r="H15" s="19">
        <f t="shared" si="0"/>
        <v>113.27200000000001</v>
      </c>
      <c r="I15" s="19">
        <f t="shared" si="4"/>
        <v>1.301977011494253</v>
      </c>
      <c r="J15" s="20">
        <f t="shared" si="5"/>
        <v>1301.977011494253</v>
      </c>
      <c r="K15" s="20">
        <f t="shared" si="6"/>
        <v>1.149425287356322</v>
      </c>
      <c r="L15" s="21">
        <f t="shared" si="1"/>
        <v>1132.72</v>
      </c>
      <c r="M15" s="22">
        <v>599</v>
      </c>
      <c r="N15" s="21" t="s">
        <v>38</v>
      </c>
      <c r="O15" s="23" t="s">
        <v>37</v>
      </c>
      <c r="P15" s="23">
        <v>28</v>
      </c>
      <c r="Q15" s="23">
        <v>80</v>
      </c>
      <c r="R15" s="23">
        <v>43</v>
      </c>
      <c r="S15" s="23">
        <v>50</v>
      </c>
    </row>
    <row r="16" spans="1:19" x14ac:dyDescent="0.25">
      <c r="A16" s="19">
        <v>12</v>
      </c>
      <c r="B16" s="19">
        <v>38.051000000000002</v>
      </c>
      <c r="C16" s="19">
        <v>79.418999999999997</v>
      </c>
      <c r="D16" s="19">
        <v>100</v>
      </c>
      <c r="E16" s="19">
        <f t="shared" si="2"/>
        <v>41.367999999999995</v>
      </c>
      <c r="F16" s="19">
        <f t="shared" si="3"/>
        <v>0.41367999999999994</v>
      </c>
      <c r="G16" s="28">
        <v>85</v>
      </c>
      <c r="H16" s="19">
        <f t="shared" si="0"/>
        <v>41.367999999999995</v>
      </c>
      <c r="I16" s="19">
        <f t="shared" si="4"/>
        <v>0.4866823529411764</v>
      </c>
      <c r="J16" s="20">
        <f t="shared" si="5"/>
        <v>486.68235294117642</v>
      </c>
      <c r="K16" s="20">
        <f t="shared" si="6"/>
        <v>1.1764705882352942</v>
      </c>
      <c r="L16" s="21">
        <f t="shared" si="1"/>
        <v>413.67999999999995</v>
      </c>
      <c r="M16" s="22">
        <v>72</v>
      </c>
      <c r="N16" s="21" t="s">
        <v>36</v>
      </c>
      <c r="O16" s="23" t="s">
        <v>37</v>
      </c>
      <c r="P16" s="23">
        <v>41</v>
      </c>
      <c r="Q16" s="23">
        <v>150</v>
      </c>
      <c r="R16" s="23">
        <v>49</v>
      </c>
      <c r="S16" s="23">
        <v>125</v>
      </c>
    </row>
    <row r="17" spans="1:19" x14ac:dyDescent="0.25">
      <c r="A17" s="19">
        <v>13</v>
      </c>
      <c r="B17" s="19">
        <v>38.051000000000002</v>
      </c>
      <c r="C17" s="19">
        <v>74.653000000000006</v>
      </c>
      <c r="D17" s="19">
        <v>100</v>
      </c>
      <c r="E17" s="19">
        <f t="shared" si="2"/>
        <v>36.602000000000004</v>
      </c>
      <c r="F17" s="19">
        <f t="shared" si="3"/>
        <v>0.36602000000000001</v>
      </c>
      <c r="G17" s="28">
        <v>44</v>
      </c>
      <c r="H17" s="19">
        <f t="shared" si="0"/>
        <v>36.602000000000004</v>
      </c>
      <c r="I17" s="19">
        <f t="shared" si="4"/>
        <v>0.83186363636363647</v>
      </c>
      <c r="J17" s="20">
        <f t="shared" si="5"/>
        <v>831.86363636363649</v>
      </c>
      <c r="K17" s="20">
        <f t="shared" si="6"/>
        <v>2.2727272727272729</v>
      </c>
      <c r="L17" s="21">
        <f t="shared" si="1"/>
        <v>366.02000000000004</v>
      </c>
      <c r="M17" s="22">
        <v>109</v>
      </c>
      <c r="N17" s="21" t="s">
        <v>36</v>
      </c>
      <c r="O17" s="23" t="s">
        <v>30</v>
      </c>
      <c r="P17" s="23">
        <v>30</v>
      </c>
      <c r="Q17" s="23">
        <v>700</v>
      </c>
      <c r="R17" s="23">
        <v>38</v>
      </c>
      <c r="S17" s="23">
        <v>450</v>
      </c>
    </row>
    <row r="18" spans="1:19" x14ac:dyDescent="0.25">
      <c r="A18" s="19">
        <v>14</v>
      </c>
      <c r="B18" s="19">
        <v>38.051000000000002</v>
      </c>
      <c r="C18" s="19">
        <v>83.518000000000001</v>
      </c>
      <c r="D18" s="19">
        <v>100</v>
      </c>
      <c r="E18" s="19">
        <f t="shared" si="2"/>
        <v>45.466999999999999</v>
      </c>
      <c r="F18" s="19">
        <f t="shared" si="3"/>
        <v>0.45466999999999996</v>
      </c>
      <c r="G18" s="28">
        <v>54</v>
      </c>
      <c r="H18" s="19">
        <f t="shared" si="0"/>
        <v>45.466999999999999</v>
      </c>
      <c r="I18" s="19">
        <f t="shared" si="4"/>
        <v>0.84198148148148144</v>
      </c>
      <c r="J18" s="20">
        <f t="shared" si="5"/>
        <v>841.98148148148141</v>
      </c>
      <c r="K18" s="20">
        <f t="shared" si="6"/>
        <v>1.8518518518518519</v>
      </c>
      <c r="L18" s="21">
        <f t="shared" si="1"/>
        <v>454.66999999999996</v>
      </c>
      <c r="M18" s="22">
        <v>175</v>
      </c>
      <c r="N18" s="21" t="s">
        <v>36</v>
      </c>
      <c r="O18" s="23" t="s">
        <v>30</v>
      </c>
      <c r="P18" s="23">
        <v>26</v>
      </c>
      <c r="Q18" s="23">
        <v>450</v>
      </c>
      <c r="R18" s="23">
        <v>35</v>
      </c>
      <c r="S18" s="23">
        <v>250</v>
      </c>
    </row>
    <row r="19" spans="1:19" x14ac:dyDescent="0.25">
      <c r="A19" s="19">
        <v>15</v>
      </c>
      <c r="B19" s="19">
        <v>38.051000000000002</v>
      </c>
      <c r="C19" s="19">
        <v>89.638000000000005</v>
      </c>
      <c r="D19" s="19">
        <v>100</v>
      </c>
      <c r="E19" s="19">
        <f t="shared" si="2"/>
        <v>51.587000000000003</v>
      </c>
      <c r="F19" s="19">
        <f t="shared" si="3"/>
        <v>0.51587000000000005</v>
      </c>
      <c r="G19" s="28">
        <v>58</v>
      </c>
      <c r="H19" s="19">
        <f t="shared" si="0"/>
        <v>51.587000000000003</v>
      </c>
      <c r="I19" s="19">
        <f t="shared" si="4"/>
        <v>0.88943103448275873</v>
      </c>
      <c r="J19" s="20">
        <f t="shared" si="5"/>
        <v>889.43103448275872</v>
      </c>
      <c r="K19" s="20">
        <f t="shared" si="6"/>
        <v>1.7241379310344829</v>
      </c>
      <c r="L19" s="21">
        <f t="shared" si="1"/>
        <v>515.87</v>
      </c>
      <c r="M19" s="22">
        <v>101</v>
      </c>
      <c r="N19" s="21" t="s">
        <v>36</v>
      </c>
      <c r="O19" s="23" t="s">
        <v>30</v>
      </c>
      <c r="P19" s="23">
        <v>26</v>
      </c>
      <c r="Q19" s="23">
        <v>350</v>
      </c>
      <c r="R19" s="23">
        <v>33</v>
      </c>
      <c r="S19" s="23">
        <v>200</v>
      </c>
    </row>
    <row r="20" spans="1:19" x14ac:dyDescent="0.25">
      <c r="A20" s="19">
        <v>16</v>
      </c>
      <c r="B20" s="19">
        <v>38.051000000000002</v>
      </c>
      <c r="C20" s="19">
        <v>124.383</v>
      </c>
      <c r="D20" s="19">
        <v>100</v>
      </c>
      <c r="E20" s="19">
        <f t="shared" si="2"/>
        <v>86.331999999999994</v>
      </c>
      <c r="F20" s="19">
        <f t="shared" si="3"/>
        <v>0.86331999999999998</v>
      </c>
      <c r="G20" s="28">
        <v>59</v>
      </c>
      <c r="H20" s="19">
        <f t="shared" si="0"/>
        <v>86.331999999999994</v>
      </c>
      <c r="I20" s="19">
        <f t="shared" si="4"/>
        <v>1.4632542372881354</v>
      </c>
      <c r="J20" s="20">
        <f t="shared" si="5"/>
        <v>1463.2542372881355</v>
      </c>
      <c r="K20" s="20">
        <f t="shared" si="6"/>
        <v>1.6949152542372883</v>
      </c>
      <c r="L20" s="21">
        <f t="shared" si="1"/>
        <v>863.31999999999994</v>
      </c>
      <c r="M20" s="22">
        <v>86</v>
      </c>
      <c r="N20" s="21" t="s">
        <v>31</v>
      </c>
      <c r="O20" s="23" t="s">
        <v>30</v>
      </c>
      <c r="P20" s="23">
        <v>21</v>
      </c>
      <c r="Q20" s="23">
        <v>350</v>
      </c>
      <c r="R20" s="23">
        <v>29</v>
      </c>
      <c r="S20" s="23">
        <v>250</v>
      </c>
    </row>
    <row r="21" spans="1:19" x14ac:dyDescent="0.25">
      <c r="A21" s="19">
        <v>17</v>
      </c>
      <c r="B21" s="19">
        <v>38.051000000000002</v>
      </c>
      <c r="C21" s="19">
        <v>120.535</v>
      </c>
      <c r="D21" s="19">
        <v>100</v>
      </c>
      <c r="E21" s="19">
        <f t="shared" si="2"/>
        <v>82.483999999999995</v>
      </c>
      <c r="F21" s="19">
        <f t="shared" si="3"/>
        <v>0.82483999999999991</v>
      </c>
      <c r="G21" s="28">
        <v>79</v>
      </c>
      <c r="H21" s="19">
        <f t="shared" si="0"/>
        <v>82.483999999999995</v>
      </c>
      <c r="I21" s="19">
        <f t="shared" si="4"/>
        <v>1.0441012658227848</v>
      </c>
      <c r="J21" s="20">
        <f t="shared" si="5"/>
        <v>1044.1012658227849</v>
      </c>
      <c r="K21" s="20">
        <f t="shared" si="6"/>
        <v>1.2658227848101267</v>
      </c>
      <c r="L21" s="21">
        <f t="shared" si="1"/>
        <v>824.83999999999992</v>
      </c>
      <c r="M21" s="22">
        <v>381</v>
      </c>
      <c r="N21" s="21" t="s">
        <v>36</v>
      </c>
      <c r="O21" s="23" t="s">
        <v>32</v>
      </c>
      <c r="P21" s="23">
        <v>26</v>
      </c>
      <c r="Q21" s="23">
        <v>250</v>
      </c>
      <c r="R21" s="23">
        <v>34</v>
      </c>
      <c r="S21" s="23">
        <v>200</v>
      </c>
    </row>
    <row r="22" spans="1:19" x14ac:dyDescent="0.25">
      <c r="A22" s="19">
        <v>18</v>
      </c>
      <c r="B22" s="19">
        <v>38.051000000000002</v>
      </c>
      <c r="C22" s="19">
        <v>118.67</v>
      </c>
      <c r="D22" s="19">
        <v>100</v>
      </c>
      <c r="E22" s="19">
        <f t="shared" si="2"/>
        <v>80.619</v>
      </c>
      <c r="F22" s="19">
        <f t="shared" si="3"/>
        <v>0.80618999999999996</v>
      </c>
      <c r="G22" s="28">
        <v>78</v>
      </c>
      <c r="H22" s="19">
        <f t="shared" si="0"/>
        <v>80.619</v>
      </c>
      <c r="I22" s="19">
        <f t="shared" si="4"/>
        <v>1.0335769230769232</v>
      </c>
      <c r="J22" s="20">
        <f t="shared" si="5"/>
        <v>1033.5769230769231</v>
      </c>
      <c r="K22" s="20">
        <f t="shared" si="6"/>
        <v>1.2820512820512822</v>
      </c>
      <c r="L22" s="21">
        <f t="shared" si="1"/>
        <v>806.18999999999994</v>
      </c>
      <c r="M22" s="22">
        <v>332</v>
      </c>
      <c r="N22" s="21" t="s">
        <v>36</v>
      </c>
      <c r="O22" s="23" t="s">
        <v>32</v>
      </c>
      <c r="P22" s="23">
        <v>34</v>
      </c>
      <c r="Q22" s="23">
        <v>250</v>
      </c>
      <c r="R22" s="23">
        <v>40</v>
      </c>
      <c r="S22" s="23">
        <v>200</v>
      </c>
    </row>
    <row r="23" spans="1:19" x14ac:dyDescent="0.25">
      <c r="A23" s="19">
        <v>19</v>
      </c>
      <c r="B23" s="19">
        <v>38.051000000000002</v>
      </c>
      <c r="C23" s="19">
        <v>123.416</v>
      </c>
      <c r="D23" s="19">
        <v>100</v>
      </c>
      <c r="E23" s="19">
        <f t="shared" si="2"/>
        <v>85.364999999999995</v>
      </c>
      <c r="F23" s="19">
        <f t="shared" si="3"/>
        <v>0.85364999999999991</v>
      </c>
      <c r="G23" s="28">
        <v>95</v>
      </c>
      <c r="H23" s="19">
        <f t="shared" si="0"/>
        <v>85.364999999999995</v>
      </c>
      <c r="I23" s="19">
        <f t="shared" si="4"/>
        <v>0.89857894736842103</v>
      </c>
      <c r="J23" s="20">
        <f t="shared" si="5"/>
        <v>898.57894736842104</v>
      </c>
      <c r="K23" s="20">
        <f t="shared" si="6"/>
        <v>1.0526315789473686</v>
      </c>
      <c r="L23" s="21">
        <f t="shared" si="1"/>
        <v>853.64999999999986</v>
      </c>
      <c r="M23" s="22">
        <v>72</v>
      </c>
      <c r="N23" s="21" t="s">
        <v>39</v>
      </c>
      <c r="O23" s="23" t="s">
        <v>35</v>
      </c>
      <c r="P23" s="23">
        <v>42</v>
      </c>
      <c r="Q23" s="23">
        <v>100</v>
      </c>
      <c r="R23" s="23">
        <v>44</v>
      </c>
      <c r="S23" s="23">
        <v>50</v>
      </c>
    </row>
    <row r="24" spans="1:19" x14ac:dyDescent="0.25">
      <c r="A24" s="19">
        <v>20</v>
      </c>
      <c r="B24" s="19">
        <v>38.051000000000002</v>
      </c>
      <c r="C24" s="19">
        <v>109.994</v>
      </c>
      <c r="D24" s="19">
        <v>100</v>
      </c>
      <c r="E24" s="19">
        <f t="shared" si="2"/>
        <v>71.942999999999998</v>
      </c>
      <c r="F24" s="19">
        <f t="shared" si="3"/>
        <v>0.71943000000000001</v>
      </c>
      <c r="G24" s="28">
        <v>96</v>
      </c>
      <c r="H24" s="19">
        <f t="shared" si="0"/>
        <v>71.942999999999998</v>
      </c>
      <c r="I24" s="19">
        <f t="shared" si="4"/>
        <v>0.74940624999999994</v>
      </c>
      <c r="J24" s="20">
        <f t="shared" si="5"/>
        <v>749.40624999999989</v>
      </c>
      <c r="K24" s="20">
        <f t="shared" si="6"/>
        <v>1.0416666666666665</v>
      </c>
      <c r="L24" s="21">
        <f t="shared" si="1"/>
        <v>719.43000000000006</v>
      </c>
      <c r="M24" s="22">
        <v>72</v>
      </c>
      <c r="N24" s="21" t="s">
        <v>34</v>
      </c>
      <c r="O24" s="23" t="s">
        <v>35</v>
      </c>
      <c r="P24" s="23">
        <v>42</v>
      </c>
      <c r="Q24" s="23">
        <v>80</v>
      </c>
      <c r="R24" s="23">
        <v>49</v>
      </c>
      <c r="S24" s="23">
        <v>50</v>
      </c>
    </row>
    <row r="25" spans="1:19" x14ac:dyDescent="0.25">
      <c r="A25" s="19">
        <v>21</v>
      </c>
      <c r="B25" s="19">
        <v>38.051000000000002</v>
      </c>
      <c r="C25" s="19">
        <v>107.301</v>
      </c>
      <c r="D25" s="19">
        <v>100</v>
      </c>
      <c r="E25" s="19">
        <f t="shared" si="2"/>
        <v>69.25</v>
      </c>
      <c r="F25" s="19">
        <f t="shared" si="3"/>
        <v>0.6925</v>
      </c>
      <c r="G25" s="28">
        <v>73</v>
      </c>
      <c r="H25" s="19">
        <f t="shared" si="0"/>
        <v>69.25</v>
      </c>
      <c r="I25" s="19">
        <f t="shared" si="4"/>
        <v>0.94863013698630139</v>
      </c>
      <c r="J25" s="20">
        <f t="shared" si="5"/>
        <v>948.63013698630141</v>
      </c>
      <c r="K25" s="20">
        <f t="shared" si="6"/>
        <v>1.3698630136986303</v>
      </c>
      <c r="L25" s="21">
        <f t="shared" si="1"/>
        <v>692.5</v>
      </c>
      <c r="M25" s="22">
        <v>243</v>
      </c>
      <c r="N25" s="21" t="s">
        <v>36</v>
      </c>
      <c r="O25" s="23" t="s">
        <v>40</v>
      </c>
      <c r="P25" s="23">
        <v>23</v>
      </c>
      <c r="Q25" s="23">
        <v>250</v>
      </c>
      <c r="R25" s="23">
        <v>31</v>
      </c>
      <c r="S25" s="23">
        <v>150</v>
      </c>
    </row>
    <row r="26" spans="1:19" x14ac:dyDescent="0.25">
      <c r="A26" s="19">
        <v>22</v>
      </c>
      <c r="B26" s="19">
        <v>38.051000000000002</v>
      </c>
      <c r="C26" s="19">
        <v>79.542000000000002</v>
      </c>
      <c r="D26" s="19">
        <v>100</v>
      </c>
      <c r="E26" s="19">
        <f t="shared" si="2"/>
        <v>41.491</v>
      </c>
      <c r="F26" s="19">
        <f t="shared" si="3"/>
        <v>0.41491</v>
      </c>
      <c r="G26" s="28">
        <v>70</v>
      </c>
      <c r="H26" s="19">
        <f t="shared" si="0"/>
        <v>41.491</v>
      </c>
      <c r="I26" s="19">
        <f t="shared" si="4"/>
        <v>0.59272857142857138</v>
      </c>
      <c r="J26" s="20">
        <f t="shared" si="5"/>
        <v>592.7285714285714</v>
      </c>
      <c r="K26" s="20">
        <f t="shared" si="6"/>
        <v>1.4285714285714284</v>
      </c>
      <c r="L26" s="21">
        <f t="shared" si="1"/>
        <v>414.91</v>
      </c>
      <c r="M26" s="22">
        <v>136</v>
      </c>
      <c r="N26" s="21" t="s">
        <v>31</v>
      </c>
      <c r="O26" s="23" t="s">
        <v>40</v>
      </c>
      <c r="P26" s="23">
        <v>36</v>
      </c>
      <c r="Q26" s="23">
        <v>250</v>
      </c>
      <c r="R26" s="23">
        <v>45</v>
      </c>
      <c r="S26" s="23">
        <v>150</v>
      </c>
    </row>
    <row r="27" spans="1:19" x14ac:dyDescent="0.25">
      <c r="A27" s="19">
        <v>23</v>
      </c>
      <c r="B27" s="19">
        <v>38.051000000000002</v>
      </c>
      <c r="C27" s="19">
        <v>80.614000000000004</v>
      </c>
      <c r="D27" s="19">
        <v>100</v>
      </c>
      <c r="E27" s="19">
        <f t="shared" si="2"/>
        <v>42.563000000000002</v>
      </c>
      <c r="F27" s="19">
        <f t="shared" si="3"/>
        <v>0.42563000000000001</v>
      </c>
      <c r="G27" s="28">
        <v>55</v>
      </c>
      <c r="H27" s="19">
        <f t="shared" si="0"/>
        <v>42.563000000000002</v>
      </c>
      <c r="I27" s="19">
        <f t="shared" si="4"/>
        <v>0.77387272727272727</v>
      </c>
      <c r="J27" s="20">
        <f t="shared" si="5"/>
        <v>773.87272727272727</v>
      </c>
      <c r="K27" s="20">
        <f t="shared" si="6"/>
        <v>1.8181818181818181</v>
      </c>
      <c r="L27" s="21">
        <f t="shared" si="1"/>
        <v>425.63</v>
      </c>
      <c r="M27" s="22">
        <v>75</v>
      </c>
      <c r="N27" s="21" t="s">
        <v>36</v>
      </c>
      <c r="O27" s="23" t="s">
        <v>30</v>
      </c>
      <c r="P27" s="23">
        <v>6</v>
      </c>
      <c r="Q27" s="23">
        <v>450</v>
      </c>
      <c r="R27" s="23">
        <v>16</v>
      </c>
      <c r="S27" s="23">
        <v>200</v>
      </c>
    </row>
    <row r="28" spans="1:19" x14ac:dyDescent="0.25">
      <c r="A28" s="19">
        <v>24</v>
      </c>
      <c r="B28" s="19">
        <v>38.051000000000002</v>
      </c>
      <c r="C28" s="19">
        <v>71.212999999999994</v>
      </c>
      <c r="D28" s="19">
        <v>100</v>
      </c>
      <c r="E28" s="19">
        <f t="shared" si="2"/>
        <v>33.161999999999992</v>
      </c>
      <c r="F28" s="19">
        <f t="shared" si="3"/>
        <v>0.33161999999999991</v>
      </c>
      <c r="G28" s="28">
        <v>52</v>
      </c>
      <c r="H28" s="19">
        <f t="shared" si="0"/>
        <v>33.161999999999992</v>
      </c>
      <c r="I28" s="19">
        <f t="shared" si="4"/>
        <v>0.6377307692307691</v>
      </c>
      <c r="J28" s="20">
        <f t="shared" si="5"/>
        <v>637.73076923076906</v>
      </c>
      <c r="K28" s="20">
        <f t="shared" si="6"/>
        <v>1.9230769230769231</v>
      </c>
      <c r="L28" s="21">
        <f t="shared" si="1"/>
        <v>331.61999999999989</v>
      </c>
      <c r="M28" s="22">
        <v>446</v>
      </c>
      <c r="N28" s="21" t="s">
        <v>36</v>
      </c>
      <c r="O28" s="23" t="s">
        <v>30</v>
      </c>
      <c r="P28" s="23">
        <v>26</v>
      </c>
      <c r="Q28" s="23">
        <v>650</v>
      </c>
      <c r="R28" s="23">
        <v>33</v>
      </c>
      <c r="S28" s="23">
        <v>400</v>
      </c>
    </row>
    <row r="29" spans="1:19" x14ac:dyDescent="0.25">
      <c r="A29" s="19">
        <v>25</v>
      </c>
      <c r="B29" s="19">
        <v>38.051000000000002</v>
      </c>
      <c r="C29" s="19">
        <v>65.81</v>
      </c>
      <c r="D29" s="19">
        <v>100</v>
      </c>
      <c r="E29" s="19">
        <f t="shared" si="2"/>
        <v>27.759</v>
      </c>
      <c r="F29" s="19">
        <f t="shared" si="3"/>
        <v>0.27759</v>
      </c>
      <c r="G29" s="28">
        <v>73</v>
      </c>
      <c r="H29" s="19">
        <f t="shared" si="0"/>
        <v>27.759</v>
      </c>
      <c r="I29" s="19">
        <f t="shared" si="4"/>
        <v>0.38026027397260276</v>
      </c>
      <c r="J29" s="20">
        <f t="shared" si="5"/>
        <v>380.26027397260276</v>
      </c>
      <c r="K29" s="20">
        <f t="shared" si="6"/>
        <v>1.3698630136986301</v>
      </c>
      <c r="L29" s="21">
        <f t="shared" si="1"/>
        <v>277.59000000000003</v>
      </c>
      <c r="M29" s="22">
        <v>72</v>
      </c>
      <c r="N29" s="21" t="s">
        <v>36</v>
      </c>
      <c r="O29" s="23" t="s">
        <v>40</v>
      </c>
      <c r="P29" s="23">
        <v>26</v>
      </c>
      <c r="Q29" s="23">
        <v>900</v>
      </c>
      <c r="R29" s="23">
        <v>35</v>
      </c>
      <c r="S29" s="23">
        <v>700</v>
      </c>
    </row>
    <row r="30" spans="1:19" x14ac:dyDescent="0.25">
      <c r="A30" s="19">
        <v>26</v>
      </c>
      <c r="B30" s="19">
        <v>38.051000000000002</v>
      </c>
      <c r="C30" s="19">
        <v>78.888999999999996</v>
      </c>
      <c r="D30" s="19">
        <v>100</v>
      </c>
      <c r="E30" s="19">
        <f t="shared" si="2"/>
        <v>40.837999999999994</v>
      </c>
      <c r="F30" s="19">
        <f t="shared" si="3"/>
        <v>0.40837999999999997</v>
      </c>
      <c r="G30" s="28">
        <v>49</v>
      </c>
      <c r="H30" s="19">
        <f t="shared" si="0"/>
        <v>40.837999999999994</v>
      </c>
      <c r="I30" s="19">
        <f t="shared" si="4"/>
        <v>0.8334285714285713</v>
      </c>
      <c r="J30" s="20">
        <f t="shared" si="5"/>
        <v>833.42857142857133</v>
      </c>
      <c r="K30" s="20">
        <f t="shared" si="6"/>
        <v>2.0408163265306123</v>
      </c>
      <c r="L30" s="21">
        <f t="shared" si="1"/>
        <v>408.37999999999994</v>
      </c>
      <c r="M30" s="22">
        <v>130</v>
      </c>
      <c r="N30" s="21" t="s">
        <v>36</v>
      </c>
      <c r="O30" s="23" t="s">
        <v>30</v>
      </c>
      <c r="P30" s="23">
        <v>20</v>
      </c>
      <c r="Q30" s="23">
        <v>600</v>
      </c>
      <c r="R30" s="23">
        <v>28</v>
      </c>
      <c r="S30" s="23">
        <v>350</v>
      </c>
    </row>
    <row r="31" spans="1:19" x14ac:dyDescent="0.25">
      <c r="A31" s="19">
        <v>27</v>
      </c>
      <c r="B31" s="19">
        <v>38.051000000000002</v>
      </c>
      <c r="C31" s="19">
        <v>133.08799999999999</v>
      </c>
      <c r="D31" s="19">
        <v>100</v>
      </c>
      <c r="E31" s="19">
        <f t="shared" si="2"/>
        <v>95.036999999999992</v>
      </c>
      <c r="F31" s="19">
        <f t="shared" si="3"/>
        <v>0.95036999999999994</v>
      </c>
      <c r="G31" s="28">
        <v>60</v>
      </c>
      <c r="H31" s="19">
        <f t="shared" si="0"/>
        <v>95.036999999999992</v>
      </c>
      <c r="I31" s="19">
        <f t="shared" si="4"/>
        <v>1.58395</v>
      </c>
      <c r="J31" s="20">
        <f t="shared" si="5"/>
        <v>1583.95</v>
      </c>
      <c r="K31" s="20">
        <f t="shared" si="6"/>
        <v>1.666666666666667</v>
      </c>
      <c r="L31" s="21">
        <f t="shared" si="1"/>
        <v>950.36999999999989</v>
      </c>
      <c r="M31" s="22">
        <v>27</v>
      </c>
      <c r="N31" s="21" t="s">
        <v>36</v>
      </c>
      <c r="O31" s="23" t="s">
        <v>30</v>
      </c>
      <c r="P31" s="23">
        <v>10</v>
      </c>
      <c r="Q31" s="23">
        <v>250</v>
      </c>
      <c r="R31" s="23">
        <v>18</v>
      </c>
      <c r="S31" s="23">
        <v>150</v>
      </c>
    </row>
    <row r="32" spans="1:19" x14ac:dyDescent="0.25">
      <c r="A32" s="19">
        <v>28</v>
      </c>
      <c r="B32" s="19">
        <v>38.051000000000002</v>
      </c>
      <c r="C32" s="19">
        <v>82.66</v>
      </c>
      <c r="D32" s="19">
        <v>100</v>
      </c>
      <c r="E32" s="19">
        <f t="shared" si="2"/>
        <v>44.608999999999995</v>
      </c>
      <c r="F32" s="19">
        <f t="shared" si="3"/>
        <v>0.44608999999999993</v>
      </c>
      <c r="G32" s="28">
        <v>70</v>
      </c>
      <c r="H32" s="19">
        <f t="shared" si="0"/>
        <v>44.608999999999995</v>
      </c>
      <c r="I32" s="19">
        <f t="shared" si="4"/>
        <v>0.63727142857142849</v>
      </c>
      <c r="J32" s="20">
        <f t="shared" si="5"/>
        <v>637.27142857142849</v>
      </c>
      <c r="K32" s="20">
        <f t="shared" si="6"/>
        <v>1.4285714285714286</v>
      </c>
      <c r="L32" s="21">
        <f t="shared" si="1"/>
        <v>446.08999999999992</v>
      </c>
      <c r="M32" s="22">
        <v>72</v>
      </c>
      <c r="N32" s="21" t="s">
        <v>36</v>
      </c>
      <c r="O32" s="23" t="s">
        <v>40</v>
      </c>
      <c r="P32" s="23">
        <v>11</v>
      </c>
      <c r="Q32" s="23">
        <v>600</v>
      </c>
      <c r="R32" s="23">
        <v>18</v>
      </c>
      <c r="S32" s="23">
        <v>300</v>
      </c>
    </row>
    <row r="33" spans="1:19" x14ac:dyDescent="0.25">
      <c r="A33" s="19">
        <v>29</v>
      </c>
      <c r="B33" s="19">
        <v>38.051000000000002</v>
      </c>
      <c r="C33" s="19">
        <v>121.071</v>
      </c>
      <c r="D33" s="19">
        <v>100</v>
      </c>
      <c r="E33" s="19">
        <f t="shared" si="2"/>
        <v>83.02</v>
      </c>
      <c r="F33" s="19">
        <f t="shared" si="3"/>
        <v>0.83019999999999994</v>
      </c>
      <c r="G33" s="28">
        <v>96</v>
      </c>
      <c r="H33" s="19">
        <f t="shared" si="0"/>
        <v>83.02</v>
      </c>
      <c r="I33" s="19">
        <f t="shared" si="4"/>
        <v>0.86479166666666663</v>
      </c>
      <c r="J33" s="20">
        <f t="shared" si="5"/>
        <v>864.79166666666663</v>
      </c>
      <c r="K33" s="20">
        <f t="shared" si="6"/>
        <v>1.0416666666666667</v>
      </c>
      <c r="L33" s="21">
        <f t="shared" si="1"/>
        <v>830.19999999999993</v>
      </c>
      <c r="M33" s="22">
        <v>72</v>
      </c>
      <c r="N33" s="21" t="s">
        <v>36</v>
      </c>
      <c r="O33" s="23" t="s">
        <v>35</v>
      </c>
      <c r="P33" s="23">
        <v>30</v>
      </c>
      <c r="Q33" s="23">
        <v>80</v>
      </c>
      <c r="R33" s="23">
        <v>36</v>
      </c>
      <c r="S33" s="23">
        <v>50</v>
      </c>
    </row>
    <row r="34" spans="1:19" x14ac:dyDescent="0.25">
      <c r="A34" s="19">
        <v>30</v>
      </c>
      <c r="B34" s="19">
        <v>38.051000000000002</v>
      </c>
      <c r="C34" s="19">
        <v>117.25</v>
      </c>
      <c r="D34" s="19">
        <v>100</v>
      </c>
      <c r="E34" s="19">
        <f t="shared" si="2"/>
        <v>79.198999999999998</v>
      </c>
      <c r="F34" s="19">
        <f t="shared" si="3"/>
        <v>0.79198999999999997</v>
      </c>
      <c r="G34" s="28">
        <v>81</v>
      </c>
      <c r="H34" s="19">
        <f t="shared" si="0"/>
        <v>79.198999999999998</v>
      </c>
      <c r="I34" s="19">
        <f t="shared" si="4"/>
        <v>0.97776543209876543</v>
      </c>
      <c r="J34" s="20">
        <f t="shared" si="5"/>
        <v>977.76543209876547</v>
      </c>
      <c r="K34" s="20">
        <f t="shared" si="6"/>
        <v>1.2345679012345678</v>
      </c>
      <c r="L34" s="21">
        <f t="shared" si="1"/>
        <v>791.99</v>
      </c>
      <c r="M34" s="22">
        <v>72</v>
      </c>
      <c r="N34" s="21" t="s">
        <v>41</v>
      </c>
      <c r="O34" s="23" t="s">
        <v>42</v>
      </c>
      <c r="P34" s="23">
        <v>28</v>
      </c>
      <c r="Q34" s="23">
        <v>80</v>
      </c>
      <c r="R34" s="23">
        <v>35</v>
      </c>
      <c r="S34" s="23">
        <v>50</v>
      </c>
    </row>
    <row r="35" spans="1:19" x14ac:dyDescent="0.25">
      <c r="A35" s="19">
        <v>31</v>
      </c>
      <c r="B35" s="19">
        <v>38.051000000000002</v>
      </c>
      <c r="C35" s="19">
        <v>114.884</v>
      </c>
      <c r="D35" s="19">
        <v>100</v>
      </c>
      <c r="E35" s="19">
        <f t="shared" si="2"/>
        <v>76.832999999999998</v>
      </c>
      <c r="F35" s="19">
        <f t="shared" si="3"/>
        <v>0.76832999999999996</v>
      </c>
      <c r="G35" s="28">
        <v>88</v>
      </c>
      <c r="H35" s="19">
        <f t="shared" si="0"/>
        <v>76.832999999999998</v>
      </c>
      <c r="I35" s="19">
        <f t="shared" si="4"/>
        <v>0.8731022727272727</v>
      </c>
      <c r="J35" s="20">
        <f t="shared" si="5"/>
        <v>873.10227272727275</v>
      </c>
      <c r="K35" s="20">
        <f t="shared" si="6"/>
        <v>1.1363636363636365</v>
      </c>
      <c r="L35" s="21">
        <f t="shared" si="1"/>
        <v>768.32999999999993</v>
      </c>
      <c r="M35" s="22">
        <v>72</v>
      </c>
      <c r="N35" s="21" t="s">
        <v>43</v>
      </c>
      <c r="O35" s="23" t="s">
        <v>37</v>
      </c>
      <c r="P35" s="23">
        <v>40</v>
      </c>
      <c r="Q35" s="23">
        <v>80</v>
      </c>
      <c r="R35" s="23">
        <v>43</v>
      </c>
      <c r="S35" s="23">
        <v>50</v>
      </c>
    </row>
    <row r="36" spans="1:19" x14ac:dyDescent="0.25">
      <c r="A36" s="19">
        <v>32</v>
      </c>
      <c r="B36" s="19">
        <v>38.051000000000002</v>
      </c>
      <c r="C36" s="19">
        <v>125.339</v>
      </c>
      <c r="D36" s="19">
        <v>100</v>
      </c>
      <c r="E36" s="19">
        <f t="shared" si="2"/>
        <v>87.287999999999997</v>
      </c>
      <c r="F36" s="19">
        <f t="shared" si="3"/>
        <v>0.87287999999999999</v>
      </c>
      <c r="G36" s="28">
        <v>94</v>
      </c>
      <c r="H36" s="19">
        <f t="shared" si="0"/>
        <v>87.287999999999997</v>
      </c>
      <c r="I36" s="19">
        <f>H36/G36</f>
        <v>0.92859574468085104</v>
      </c>
      <c r="J36" s="20">
        <f>I36*1000</f>
        <v>928.595744680851</v>
      </c>
      <c r="K36" s="20">
        <f t="shared" si="6"/>
        <v>1.0638297872340425</v>
      </c>
      <c r="L36" s="21">
        <f t="shared" si="1"/>
        <v>872.88</v>
      </c>
      <c r="M36" s="22">
        <v>72</v>
      </c>
      <c r="N36" s="21" t="s">
        <v>43</v>
      </c>
      <c r="O36" s="23" t="s">
        <v>35</v>
      </c>
      <c r="P36" s="23">
        <v>27</v>
      </c>
      <c r="Q36" s="23">
        <v>200</v>
      </c>
      <c r="R36" s="23">
        <v>34</v>
      </c>
      <c r="S36" s="23">
        <v>100</v>
      </c>
    </row>
    <row r="37" spans="1:19" x14ac:dyDescent="0.25">
      <c r="A37" s="19">
        <v>33</v>
      </c>
      <c r="B37" s="19">
        <v>38.051000000000002</v>
      </c>
      <c r="C37" s="19">
        <v>128.673</v>
      </c>
      <c r="D37" s="19">
        <v>100</v>
      </c>
      <c r="E37" s="19">
        <f t="shared" si="2"/>
        <v>90.622</v>
      </c>
      <c r="F37" s="19">
        <f t="shared" si="3"/>
        <v>0.90622000000000003</v>
      </c>
      <c r="G37" s="28">
        <v>95</v>
      </c>
      <c r="H37" s="19">
        <f t="shared" ref="H37:H50" si="7">E37</f>
        <v>90.622</v>
      </c>
      <c r="I37" s="19">
        <f t="shared" si="4"/>
        <v>0.95391578947368416</v>
      </c>
      <c r="J37" s="20">
        <f t="shared" si="5"/>
        <v>953.91578947368419</v>
      </c>
      <c r="K37" s="20">
        <f t="shared" si="6"/>
        <v>1.0526315789473684</v>
      </c>
      <c r="L37" s="21">
        <f t="shared" si="1"/>
        <v>906.22</v>
      </c>
      <c r="M37" s="22">
        <v>72</v>
      </c>
      <c r="N37" s="21" t="s">
        <v>44</v>
      </c>
      <c r="O37" s="23" t="s">
        <v>35</v>
      </c>
      <c r="P37" s="23">
        <v>35</v>
      </c>
      <c r="Q37" s="23">
        <v>80</v>
      </c>
      <c r="R37" s="23">
        <v>40</v>
      </c>
      <c r="S37" s="23">
        <v>50</v>
      </c>
    </row>
    <row r="38" spans="1:19" x14ac:dyDescent="0.25">
      <c r="A38" s="19">
        <v>34</v>
      </c>
      <c r="B38" s="19">
        <v>38.051000000000002</v>
      </c>
      <c r="C38" s="19">
        <v>128.446</v>
      </c>
      <c r="D38" s="19">
        <v>100</v>
      </c>
      <c r="E38" s="19">
        <f t="shared" si="2"/>
        <v>90.394999999999996</v>
      </c>
      <c r="F38" s="19">
        <f t="shared" si="3"/>
        <v>0.90394999999999992</v>
      </c>
      <c r="G38" s="28">
        <v>95</v>
      </c>
      <c r="H38" s="19">
        <f t="shared" si="7"/>
        <v>90.394999999999996</v>
      </c>
      <c r="I38" s="19">
        <f t="shared" si="4"/>
        <v>0.95152631578947366</v>
      </c>
      <c r="J38" s="20">
        <f t="shared" si="5"/>
        <v>951.52631578947364</v>
      </c>
      <c r="K38" s="20">
        <f t="shared" si="6"/>
        <v>1.0526315789473684</v>
      </c>
      <c r="L38" s="21">
        <f t="shared" si="1"/>
        <v>903.94999999999993</v>
      </c>
      <c r="M38" s="22">
        <v>72</v>
      </c>
      <c r="N38" s="21" t="s">
        <v>36</v>
      </c>
      <c r="O38" s="23" t="s">
        <v>35</v>
      </c>
      <c r="P38" s="23">
        <v>42</v>
      </c>
      <c r="Q38" s="23">
        <v>80</v>
      </c>
      <c r="R38" s="23">
        <v>44</v>
      </c>
      <c r="S38" s="23">
        <v>50</v>
      </c>
    </row>
    <row r="39" spans="1:19" x14ac:dyDescent="0.25">
      <c r="A39" s="19">
        <v>35</v>
      </c>
      <c r="B39" s="19">
        <v>38.051000000000002</v>
      </c>
      <c r="C39" s="19">
        <v>90.941999999999993</v>
      </c>
      <c r="D39" s="19">
        <v>100</v>
      </c>
      <c r="E39" s="19">
        <f t="shared" si="2"/>
        <v>52.890999999999991</v>
      </c>
      <c r="F39" s="19">
        <f t="shared" si="3"/>
        <v>0.52890999999999988</v>
      </c>
      <c r="G39" s="28">
        <v>92</v>
      </c>
      <c r="H39" s="19">
        <f t="shared" si="7"/>
        <v>52.890999999999991</v>
      </c>
      <c r="I39" s="19">
        <f t="shared" si="4"/>
        <v>0.57490217391304343</v>
      </c>
      <c r="J39" s="20">
        <f t="shared" si="5"/>
        <v>574.90217391304338</v>
      </c>
      <c r="K39" s="20">
        <f t="shared" si="6"/>
        <v>1.0869565217391306</v>
      </c>
      <c r="L39" s="21">
        <f t="shared" si="1"/>
        <v>528.90999999999985</v>
      </c>
      <c r="M39" s="22">
        <v>72</v>
      </c>
      <c r="N39" s="21" t="s">
        <v>45</v>
      </c>
      <c r="O39" s="23" t="s">
        <v>35</v>
      </c>
      <c r="P39" s="23">
        <v>33</v>
      </c>
      <c r="Q39" s="23">
        <v>200</v>
      </c>
      <c r="R39" s="23">
        <v>40</v>
      </c>
      <c r="S39" s="23">
        <v>125</v>
      </c>
    </row>
    <row r="40" spans="1:19" x14ac:dyDescent="0.25">
      <c r="A40" s="19">
        <v>36</v>
      </c>
      <c r="B40" s="19">
        <v>38.051000000000002</v>
      </c>
      <c r="C40" s="19">
        <v>109.69799999999999</v>
      </c>
      <c r="D40" s="19">
        <v>100</v>
      </c>
      <c r="E40" s="19">
        <f t="shared" si="2"/>
        <v>71.646999999999991</v>
      </c>
      <c r="F40" s="19">
        <f t="shared" si="3"/>
        <v>0.71646999999999994</v>
      </c>
      <c r="G40" s="28">
        <v>90</v>
      </c>
      <c r="H40" s="19">
        <f t="shared" si="7"/>
        <v>71.646999999999991</v>
      </c>
      <c r="I40" s="19">
        <f t="shared" si="4"/>
        <v>0.79607777777777766</v>
      </c>
      <c r="J40" s="20">
        <f t="shared" si="5"/>
        <v>796.07777777777767</v>
      </c>
      <c r="K40" s="20">
        <f t="shared" si="6"/>
        <v>1.1111111111111112</v>
      </c>
      <c r="L40" s="21">
        <f t="shared" si="1"/>
        <v>716.46999999999991</v>
      </c>
      <c r="M40" s="22">
        <v>72</v>
      </c>
      <c r="N40" s="21" t="s">
        <v>36</v>
      </c>
      <c r="O40" s="23" t="s">
        <v>35</v>
      </c>
      <c r="P40" s="23">
        <v>35</v>
      </c>
      <c r="Q40" s="23">
        <v>150</v>
      </c>
      <c r="R40" s="23">
        <v>41</v>
      </c>
      <c r="S40" s="23">
        <v>50</v>
      </c>
    </row>
    <row r="41" spans="1:19" x14ac:dyDescent="0.25">
      <c r="A41" s="19">
        <v>37</v>
      </c>
      <c r="B41" s="19">
        <v>38.051000000000002</v>
      </c>
      <c r="C41" s="19">
        <v>128.00800000000001</v>
      </c>
      <c r="D41" s="19">
        <v>100</v>
      </c>
      <c r="E41" s="19">
        <f t="shared" si="2"/>
        <v>89.957000000000008</v>
      </c>
      <c r="F41" s="19">
        <f t="shared" si="3"/>
        <v>0.89957000000000009</v>
      </c>
      <c r="G41" s="28">
        <v>88</v>
      </c>
      <c r="H41" s="19">
        <f t="shared" si="7"/>
        <v>89.957000000000008</v>
      </c>
      <c r="I41" s="19">
        <f t="shared" si="4"/>
        <v>1.0222386363636364</v>
      </c>
      <c r="J41" s="20">
        <f t="shared" si="5"/>
        <v>1022.2386363636365</v>
      </c>
      <c r="K41" s="20">
        <f t="shared" si="6"/>
        <v>1.1363636363636365</v>
      </c>
      <c r="L41" s="21">
        <f t="shared" si="1"/>
        <v>899.57</v>
      </c>
      <c r="M41" s="22">
        <v>72</v>
      </c>
      <c r="N41" s="21" t="s">
        <v>38</v>
      </c>
      <c r="O41" s="23" t="s">
        <v>37</v>
      </c>
      <c r="P41" s="23">
        <v>31</v>
      </c>
      <c r="Q41" s="23">
        <v>125</v>
      </c>
      <c r="R41" s="23">
        <v>39</v>
      </c>
      <c r="S41" s="23">
        <v>50</v>
      </c>
    </row>
    <row r="42" spans="1:19" x14ac:dyDescent="0.25">
      <c r="A42" s="19">
        <v>38</v>
      </c>
      <c r="B42" s="19">
        <v>38.051000000000002</v>
      </c>
      <c r="C42" s="19">
        <v>105.33</v>
      </c>
      <c r="D42" s="19">
        <v>100</v>
      </c>
      <c r="E42" s="19">
        <f t="shared" si="2"/>
        <v>67.278999999999996</v>
      </c>
      <c r="F42" s="19">
        <f t="shared" si="3"/>
        <v>0.67279</v>
      </c>
      <c r="G42" s="28">
        <v>52</v>
      </c>
      <c r="H42" s="19">
        <f t="shared" si="7"/>
        <v>67.278999999999996</v>
      </c>
      <c r="I42" s="19">
        <f t="shared" si="4"/>
        <v>1.293826923076923</v>
      </c>
      <c r="J42" s="20">
        <f t="shared" si="5"/>
        <v>1293.8269230769231</v>
      </c>
      <c r="K42" s="20">
        <f t="shared" si="6"/>
        <v>1.9230769230769231</v>
      </c>
      <c r="L42" s="21">
        <f t="shared" si="1"/>
        <v>672.79</v>
      </c>
      <c r="M42" s="22">
        <v>49</v>
      </c>
      <c r="N42" s="21" t="s">
        <v>31</v>
      </c>
      <c r="O42" s="23" t="s">
        <v>30</v>
      </c>
      <c r="P42" s="23">
        <v>14</v>
      </c>
      <c r="Q42" s="23">
        <v>300</v>
      </c>
      <c r="R42" s="23">
        <v>21</v>
      </c>
      <c r="S42" s="23">
        <v>150</v>
      </c>
    </row>
    <row r="43" spans="1:19" x14ac:dyDescent="0.25">
      <c r="A43" s="19">
        <v>39</v>
      </c>
      <c r="B43" s="19">
        <v>38.051000000000002</v>
      </c>
      <c r="C43" s="19">
        <v>80.302000000000007</v>
      </c>
      <c r="D43" s="19">
        <v>100</v>
      </c>
      <c r="E43" s="19">
        <f t="shared" si="2"/>
        <v>42.251000000000005</v>
      </c>
      <c r="F43" s="19">
        <f t="shared" si="3"/>
        <v>0.42251000000000005</v>
      </c>
      <c r="G43" s="28">
        <v>54</v>
      </c>
      <c r="H43" s="19">
        <f t="shared" si="7"/>
        <v>42.251000000000005</v>
      </c>
      <c r="I43" s="19">
        <f t="shared" si="4"/>
        <v>0.78242592592592597</v>
      </c>
      <c r="J43" s="20">
        <f t="shared" si="5"/>
        <v>782.42592592592598</v>
      </c>
      <c r="K43" s="20">
        <f t="shared" si="6"/>
        <v>1.8518518518518519</v>
      </c>
      <c r="L43" s="21">
        <f t="shared" si="1"/>
        <v>422.51000000000005</v>
      </c>
      <c r="M43" s="22">
        <v>104</v>
      </c>
      <c r="N43" s="21" t="s">
        <v>36</v>
      </c>
      <c r="O43" s="23" t="s">
        <v>30</v>
      </c>
      <c r="P43" s="23">
        <v>31</v>
      </c>
      <c r="Q43" s="23">
        <v>750</v>
      </c>
      <c r="R43" s="23">
        <v>40</v>
      </c>
      <c r="S43" s="23">
        <v>450</v>
      </c>
    </row>
    <row r="44" spans="1:19" x14ac:dyDescent="0.25">
      <c r="A44" s="19">
        <v>40</v>
      </c>
      <c r="B44" s="19">
        <v>38.051000000000002</v>
      </c>
      <c r="C44" s="19">
        <v>85.64</v>
      </c>
      <c r="D44" s="19">
        <v>100</v>
      </c>
      <c r="E44" s="19">
        <f t="shared" si="2"/>
        <v>47.588999999999999</v>
      </c>
      <c r="F44" s="19">
        <f t="shared" si="3"/>
        <v>0.47588999999999998</v>
      </c>
      <c r="G44" s="28">
        <v>54</v>
      </c>
      <c r="H44" s="19">
        <f t="shared" si="7"/>
        <v>47.588999999999999</v>
      </c>
      <c r="I44" s="19">
        <f t="shared" si="4"/>
        <v>0.88127777777777772</v>
      </c>
      <c r="J44" s="20">
        <f t="shared" si="5"/>
        <v>881.27777777777771</v>
      </c>
      <c r="K44" s="20">
        <f t="shared" si="6"/>
        <v>1.8518518518518519</v>
      </c>
      <c r="L44" s="21">
        <f t="shared" si="1"/>
        <v>475.89</v>
      </c>
      <c r="M44" s="22">
        <v>87</v>
      </c>
      <c r="N44" s="21" t="s">
        <v>36</v>
      </c>
      <c r="O44" s="23" t="s">
        <v>30</v>
      </c>
      <c r="P44" s="23">
        <v>32</v>
      </c>
      <c r="Q44" s="23">
        <v>300</v>
      </c>
      <c r="R44" s="23">
        <v>40</v>
      </c>
      <c r="S44" s="23">
        <v>250</v>
      </c>
    </row>
    <row r="45" spans="1:19" x14ac:dyDescent="0.25">
      <c r="A45" s="19">
        <v>41</v>
      </c>
      <c r="B45" s="19">
        <v>38.051000000000002</v>
      </c>
      <c r="C45" s="19">
        <v>84.090999999999994</v>
      </c>
      <c r="D45" s="19">
        <v>100</v>
      </c>
      <c r="E45" s="19">
        <f t="shared" si="2"/>
        <v>46.039999999999992</v>
      </c>
      <c r="F45" s="19">
        <f t="shared" si="3"/>
        <v>0.46039999999999992</v>
      </c>
      <c r="G45" s="28">
        <v>51</v>
      </c>
      <c r="H45" s="19">
        <f t="shared" si="7"/>
        <v>46.039999999999992</v>
      </c>
      <c r="I45" s="19">
        <f t="shared" si="4"/>
        <v>0.90274509803921554</v>
      </c>
      <c r="J45" s="20">
        <f t="shared" si="5"/>
        <v>902.74509803921558</v>
      </c>
      <c r="K45" s="20">
        <f t="shared" si="6"/>
        <v>1.9607843137254903</v>
      </c>
      <c r="L45" s="21">
        <f t="shared" si="1"/>
        <v>460.39999999999992</v>
      </c>
      <c r="M45" s="22">
        <v>157</v>
      </c>
      <c r="N45" s="21" t="s">
        <v>36</v>
      </c>
      <c r="O45" s="23" t="s">
        <v>30</v>
      </c>
      <c r="P45" s="23">
        <v>47</v>
      </c>
      <c r="Q45" s="23">
        <v>300</v>
      </c>
      <c r="R45" s="23">
        <v>47</v>
      </c>
      <c r="S45" s="23">
        <v>250</v>
      </c>
    </row>
    <row r="46" spans="1:19" x14ac:dyDescent="0.25">
      <c r="A46" s="19">
        <v>42</v>
      </c>
      <c r="B46" s="19">
        <v>38.051000000000002</v>
      </c>
      <c r="C46" s="19">
        <v>126.297</v>
      </c>
      <c r="D46" s="19">
        <v>100</v>
      </c>
      <c r="E46" s="19">
        <f t="shared" si="2"/>
        <v>88.245999999999995</v>
      </c>
      <c r="F46" s="19">
        <f t="shared" si="3"/>
        <v>0.88245999999999991</v>
      </c>
      <c r="G46" s="28">
        <v>72</v>
      </c>
      <c r="H46" s="19">
        <f t="shared" si="7"/>
        <v>88.245999999999995</v>
      </c>
      <c r="I46" s="19">
        <f t="shared" si="4"/>
        <v>1.2256388888888887</v>
      </c>
      <c r="J46" s="20">
        <f t="shared" si="5"/>
        <v>1225.6388888888887</v>
      </c>
      <c r="K46" s="20">
        <f t="shared" si="6"/>
        <v>1.3888888888888888</v>
      </c>
      <c r="L46" s="21">
        <f t="shared" si="1"/>
        <v>882.45999999999992</v>
      </c>
      <c r="M46" s="22">
        <v>30</v>
      </c>
      <c r="N46" s="21" t="s">
        <v>31</v>
      </c>
      <c r="O46" s="23" t="s">
        <v>40</v>
      </c>
      <c r="P46" s="23">
        <v>21</v>
      </c>
      <c r="Q46" s="23">
        <v>200</v>
      </c>
      <c r="R46" s="23">
        <v>29</v>
      </c>
      <c r="S46" s="23">
        <v>150</v>
      </c>
    </row>
    <row r="47" spans="1:19" x14ac:dyDescent="0.25">
      <c r="A47" s="19">
        <v>43</v>
      </c>
      <c r="B47" s="19">
        <v>38.051000000000002</v>
      </c>
      <c r="C47" s="19">
        <v>72.582999999999998</v>
      </c>
      <c r="D47" s="19">
        <v>100</v>
      </c>
      <c r="E47" s="19">
        <f t="shared" si="2"/>
        <v>34.531999999999996</v>
      </c>
      <c r="F47" s="19">
        <f t="shared" si="3"/>
        <v>0.34531999999999996</v>
      </c>
      <c r="G47" s="28">
        <v>51</v>
      </c>
      <c r="H47" s="19">
        <f t="shared" si="7"/>
        <v>34.531999999999996</v>
      </c>
      <c r="I47" s="19">
        <f t="shared" si="4"/>
        <v>0.67709803921568623</v>
      </c>
      <c r="J47" s="20">
        <f t="shared" si="5"/>
        <v>677.09803921568619</v>
      </c>
      <c r="K47" s="20">
        <f t="shared" si="6"/>
        <v>1.9607843137254903</v>
      </c>
      <c r="L47" s="21">
        <f t="shared" si="1"/>
        <v>345.31999999999994</v>
      </c>
      <c r="M47" s="22">
        <v>149</v>
      </c>
      <c r="N47" s="21" t="s">
        <v>31</v>
      </c>
      <c r="O47" s="23" t="s">
        <v>30</v>
      </c>
      <c r="P47" s="23">
        <v>11</v>
      </c>
      <c r="Q47" s="23">
        <v>750</v>
      </c>
      <c r="R47" s="23">
        <v>18</v>
      </c>
      <c r="S47" s="23">
        <v>500</v>
      </c>
    </row>
    <row r="48" spans="1:19" x14ac:dyDescent="0.25">
      <c r="A48" s="19">
        <v>44</v>
      </c>
      <c r="B48" s="19">
        <v>38.051000000000002</v>
      </c>
      <c r="C48" s="19">
        <v>95.668999999999997</v>
      </c>
      <c r="D48" s="19">
        <v>100</v>
      </c>
      <c r="E48" s="19">
        <f t="shared" si="2"/>
        <v>57.617999999999995</v>
      </c>
      <c r="F48" s="19">
        <f t="shared" si="3"/>
        <v>0.57617999999999991</v>
      </c>
      <c r="G48" s="28">
        <v>53</v>
      </c>
      <c r="H48" s="19">
        <f t="shared" si="7"/>
        <v>57.617999999999995</v>
      </c>
      <c r="I48" s="19">
        <f t="shared" si="4"/>
        <v>1.087132075471698</v>
      </c>
      <c r="J48" s="20">
        <f t="shared" si="5"/>
        <v>1087.132075471698</v>
      </c>
      <c r="K48" s="20">
        <f t="shared" si="6"/>
        <v>1.8867924528301887</v>
      </c>
      <c r="L48" s="21">
        <f t="shared" si="1"/>
        <v>576.17999999999995</v>
      </c>
      <c r="M48" s="22">
        <v>61</v>
      </c>
      <c r="N48" s="21" t="s">
        <v>36</v>
      </c>
      <c r="O48" s="23" t="s">
        <v>30</v>
      </c>
      <c r="P48" s="23">
        <v>23</v>
      </c>
      <c r="Q48" s="23">
        <v>400</v>
      </c>
      <c r="R48" s="23">
        <v>30</v>
      </c>
      <c r="S48" s="23">
        <v>300</v>
      </c>
    </row>
    <row r="49" spans="1:19" x14ac:dyDescent="0.25">
      <c r="A49" s="19">
        <v>45</v>
      </c>
      <c r="B49" s="19">
        <v>38.051000000000002</v>
      </c>
      <c r="C49" s="19">
        <v>246.71199999999999</v>
      </c>
      <c r="D49" s="19">
        <v>100</v>
      </c>
      <c r="E49" s="19">
        <f t="shared" si="2"/>
        <v>208.661</v>
      </c>
      <c r="F49" s="19">
        <f t="shared" si="3"/>
        <v>2.0866099999999999</v>
      </c>
      <c r="G49" s="28">
        <v>83</v>
      </c>
      <c r="H49" s="19">
        <f t="shared" si="7"/>
        <v>208.661</v>
      </c>
      <c r="I49" s="19">
        <f t="shared" si="4"/>
        <v>2.5139879518072288</v>
      </c>
      <c r="J49" s="20">
        <f t="shared" si="5"/>
        <v>2513.9879518072289</v>
      </c>
      <c r="K49" s="20">
        <f t="shared" si="6"/>
        <v>1.2048192771084338</v>
      </c>
      <c r="L49" s="21">
        <f t="shared" si="1"/>
        <v>2086.6099999999997</v>
      </c>
      <c r="M49" s="22">
        <v>104</v>
      </c>
      <c r="N49" s="21" t="s">
        <v>36</v>
      </c>
      <c r="O49" s="23" t="s">
        <v>42</v>
      </c>
      <c r="P49" s="23">
        <v>45</v>
      </c>
      <c r="Q49" s="23">
        <v>80</v>
      </c>
      <c r="R49" s="23">
        <v>54</v>
      </c>
      <c r="S49" s="23">
        <v>50</v>
      </c>
    </row>
    <row r="50" spans="1:19" x14ac:dyDescent="0.25">
      <c r="A50" s="19">
        <v>46</v>
      </c>
      <c r="B50" s="19">
        <v>38.051000000000002</v>
      </c>
      <c r="C50" s="19">
        <v>130.69900000000001</v>
      </c>
      <c r="D50" s="19">
        <v>100</v>
      </c>
      <c r="E50" s="19">
        <f t="shared" si="2"/>
        <v>92.64800000000001</v>
      </c>
      <c r="F50" s="19">
        <f t="shared" si="3"/>
        <v>0.92648000000000008</v>
      </c>
      <c r="G50" s="28">
        <v>78</v>
      </c>
      <c r="H50" s="19">
        <f t="shared" si="7"/>
        <v>92.64800000000001</v>
      </c>
      <c r="I50" s="19">
        <f t="shared" si="4"/>
        <v>1.1877948717948719</v>
      </c>
      <c r="J50" s="20">
        <f t="shared" si="5"/>
        <v>1187.7948717948718</v>
      </c>
      <c r="K50" s="20">
        <f t="shared" si="6"/>
        <v>1.2820512820512819</v>
      </c>
      <c r="L50" s="21">
        <f t="shared" si="1"/>
        <v>926.48000000000013</v>
      </c>
      <c r="M50" s="22">
        <v>71</v>
      </c>
      <c r="N50" s="21" t="s">
        <v>31</v>
      </c>
      <c r="O50" s="23" t="s">
        <v>32</v>
      </c>
      <c r="P50" s="23">
        <v>34</v>
      </c>
      <c r="Q50" s="23">
        <v>150</v>
      </c>
      <c r="R50" s="23">
        <v>41</v>
      </c>
      <c r="S50" s="23">
        <v>50</v>
      </c>
    </row>
    <row r="51" spans="1:19" x14ac:dyDescent="0.25">
      <c r="A51" s="19">
        <v>47</v>
      </c>
      <c r="B51" s="19"/>
      <c r="C51" s="19"/>
      <c r="D51" s="19"/>
      <c r="E51" s="19"/>
      <c r="F51" s="19"/>
      <c r="G51" s="28"/>
      <c r="H51" s="19"/>
      <c r="I51" s="19"/>
      <c r="J51" s="19">
        <v>1013</v>
      </c>
      <c r="K51" s="20">
        <f t="shared" si="6"/>
        <v>1.8154121863799284</v>
      </c>
      <c r="L51" s="21">
        <v>558</v>
      </c>
      <c r="M51" s="21">
        <v>83</v>
      </c>
      <c r="N51" s="21" t="s">
        <v>31</v>
      </c>
      <c r="O51" s="23" t="s">
        <v>30</v>
      </c>
      <c r="P51" s="23">
        <v>27</v>
      </c>
      <c r="Q51" s="23">
        <v>300</v>
      </c>
      <c r="R51" s="23">
        <v>34</v>
      </c>
      <c r="S51" s="23">
        <v>150</v>
      </c>
    </row>
    <row r="52" spans="1:19" x14ac:dyDescent="0.25">
      <c r="A52" s="19">
        <v>48</v>
      </c>
      <c r="B52" s="19"/>
      <c r="C52" s="19"/>
      <c r="D52" s="19"/>
      <c r="E52" s="19"/>
      <c r="F52" s="19"/>
      <c r="G52" s="28"/>
      <c r="H52" s="19"/>
      <c r="I52" s="19"/>
      <c r="J52" s="19">
        <v>1012</v>
      </c>
      <c r="K52" s="20">
        <f t="shared" si="6"/>
        <v>2.0403225806451615</v>
      </c>
      <c r="L52" s="21">
        <v>496</v>
      </c>
      <c r="M52" s="21">
        <v>26</v>
      </c>
      <c r="N52" s="21" t="s">
        <v>31</v>
      </c>
      <c r="O52" s="23" t="s">
        <v>30</v>
      </c>
      <c r="P52" s="23">
        <v>22</v>
      </c>
      <c r="Q52" s="23">
        <v>600</v>
      </c>
      <c r="R52" s="23">
        <v>30</v>
      </c>
      <c r="S52" s="23">
        <v>300</v>
      </c>
    </row>
    <row r="53" spans="1:19" x14ac:dyDescent="0.25">
      <c r="A53" s="19">
        <v>49</v>
      </c>
      <c r="B53" s="19"/>
      <c r="C53" s="19"/>
      <c r="D53" s="19"/>
      <c r="E53" s="19"/>
      <c r="F53" s="19"/>
      <c r="G53" s="28"/>
      <c r="H53" s="19"/>
      <c r="I53" s="19"/>
      <c r="J53" s="19">
        <v>1048</v>
      </c>
      <c r="K53" s="20">
        <f t="shared" si="6"/>
        <v>1.9625468164794007</v>
      </c>
      <c r="L53" s="21">
        <v>534</v>
      </c>
      <c r="M53" s="21">
        <v>60</v>
      </c>
      <c r="N53" s="21" t="s">
        <v>31</v>
      </c>
      <c r="O53" s="23" t="s">
        <v>30</v>
      </c>
      <c r="P53" s="23">
        <v>28</v>
      </c>
      <c r="Q53" s="23">
        <v>400</v>
      </c>
      <c r="R53" s="23">
        <v>35</v>
      </c>
      <c r="S53" s="23">
        <v>200</v>
      </c>
    </row>
    <row r="54" spans="1:19" x14ac:dyDescent="0.25">
      <c r="A54" s="19">
        <v>50</v>
      </c>
      <c r="B54" s="19"/>
      <c r="C54" s="19"/>
      <c r="D54" s="19"/>
      <c r="E54" s="19"/>
      <c r="F54" s="19"/>
      <c r="G54" s="28"/>
      <c r="H54" s="19"/>
      <c r="I54" s="19"/>
      <c r="J54" s="19">
        <v>1089</v>
      </c>
      <c r="K54" s="29">
        <f t="shared" si="6"/>
        <v>1.665137614678899</v>
      </c>
      <c r="L54" s="21">
        <v>654</v>
      </c>
      <c r="M54" s="21">
        <v>114</v>
      </c>
      <c r="N54" s="21" t="s">
        <v>31</v>
      </c>
      <c r="O54" s="23" t="s">
        <v>30</v>
      </c>
      <c r="P54" s="23">
        <v>30</v>
      </c>
      <c r="Q54" s="23">
        <v>250</v>
      </c>
      <c r="R54" s="23">
        <v>37</v>
      </c>
      <c r="S54" s="23">
        <v>125</v>
      </c>
    </row>
    <row r="55" spans="1:19" x14ac:dyDescent="0.25">
      <c r="A55" s="19">
        <v>51</v>
      </c>
      <c r="B55" s="19"/>
      <c r="C55" s="19"/>
      <c r="D55" s="19"/>
      <c r="E55" s="19"/>
      <c r="F55" s="19"/>
      <c r="G55" s="28"/>
      <c r="H55" s="19"/>
      <c r="I55" s="19"/>
      <c r="J55" s="19">
        <v>1178</v>
      </c>
      <c r="K55" s="29">
        <f t="shared" si="6"/>
        <v>1.9216965742251224</v>
      </c>
      <c r="L55" s="21">
        <v>613</v>
      </c>
      <c r="M55" s="21">
        <v>29</v>
      </c>
      <c r="N55" s="21" t="s">
        <v>31</v>
      </c>
      <c r="O55" s="23" t="s">
        <v>30</v>
      </c>
      <c r="P55" s="23">
        <v>23</v>
      </c>
      <c r="Q55" s="23">
        <v>450</v>
      </c>
      <c r="R55" s="23">
        <v>30</v>
      </c>
      <c r="S55" s="23">
        <v>300</v>
      </c>
    </row>
    <row r="56" spans="1:19" x14ac:dyDescent="0.25">
      <c r="A56" s="19">
        <v>52</v>
      </c>
      <c r="B56" s="19"/>
      <c r="C56" s="19"/>
      <c r="D56" s="19"/>
      <c r="E56" s="19"/>
      <c r="F56" s="19"/>
      <c r="G56" s="28"/>
      <c r="H56" s="19"/>
      <c r="I56" s="19"/>
      <c r="J56" s="19">
        <v>1151</v>
      </c>
      <c r="K56" s="29">
        <f t="shared" si="6"/>
        <v>1.8183254344391786</v>
      </c>
      <c r="L56" s="21">
        <v>633</v>
      </c>
      <c r="M56" s="21">
        <v>80</v>
      </c>
      <c r="N56" s="21" t="s">
        <v>31</v>
      </c>
      <c r="O56" s="23" t="s">
        <v>30</v>
      </c>
      <c r="P56" s="23">
        <v>26</v>
      </c>
      <c r="Q56" s="23">
        <v>350</v>
      </c>
      <c r="R56" s="23">
        <v>34</v>
      </c>
      <c r="S56" s="23">
        <v>200</v>
      </c>
    </row>
    <row r="57" spans="1:19" x14ac:dyDescent="0.25">
      <c r="A57" s="19">
        <v>53</v>
      </c>
      <c r="B57" s="19"/>
      <c r="C57" s="19"/>
      <c r="D57" s="19"/>
      <c r="E57" s="19"/>
      <c r="F57" s="19"/>
      <c r="G57" s="28"/>
      <c r="H57" s="19"/>
      <c r="I57" s="19"/>
      <c r="J57" s="19">
        <v>4284</v>
      </c>
      <c r="K57" s="29">
        <f t="shared" si="6"/>
        <v>1.2659574468085106</v>
      </c>
      <c r="L57" s="21">
        <v>3384</v>
      </c>
      <c r="M57" s="21">
        <v>70</v>
      </c>
      <c r="N57" s="21" t="s">
        <v>36</v>
      </c>
      <c r="O57" s="23" t="s">
        <v>32</v>
      </c>
      <c r="P57" s="23">
        <v>23</v>
      </c>
      <c r="Q57" s="23">
        <v>50</v>
      </c>
      <c r="R57" s="23">
        <v>30</v>
      </c>
      <c r="S57" s="23">
        <v>50</v>
      </c>
    </row>
    <row r="58" spans="1:19" x14ac:dyDescent="0.25">
      <c r="A58" s="19">
        <v>54</v>
      </c>
      <c r="B58" s="19"/>
      <c r="C58" s="19"/>
      <c r="D58" s="19"/>
      <c r="E58" s="19"/>
      <c r="F58" s="19"/>
      <c r="G58" s="28"/>
      <c r="H58" s="19"/>
      <c r="I58" s="19"/>
      <c r="J58" s="19">
        <v>928</v>
      </c>
      <c r="K58" s="29">
        <f t="shared" si="6"/>
        <v>1.45</v>
      </c>
      <c r="L58" s="21">
        <v>640</v>
      </c>
      <c r="M58" s="21">
        <v>72</v>
      </c>
      <c r="N58" s="21" t="s">
        <v>31</v>
      </c>
      <c r="O58" s="23" t="s">
        <v>40</v>
      </c>
      <c r="P58" s="23">
        <v>28</v>
      </c>
      <c r="Q58" s="23">
        <v>250</v>
      </c>
      <c r="R58" s="23">
        <v>35</v>
      </c>
      <c r="S58" s="23">
        <v>150</v>
      </c>
    </row>
    <row r="59" spans="1:19" x14ac:dyDescent="0.25">
      <c r="A59" s="19">
        <v>55</v>
      </c>
      <c r="B59" s="19"/>
      <c r="C59" s="19"/>
      <c r="D59" s="19"/>
      <c r="E59" s="19"/>
      <c r="F59" s="19"/>
      <c r="G59" s="28"/>
      <c r="H59" s="19"/>
      <c r="I59" s="19"/>
      <c r="J59" s="19">
        <v>1142</v>
      </c>
      <c r="K59" s="29">
        <f t="shared" si="6"/>
        <v>1.8184713375796178</v>
      </c>
      <c r="L59" s="21">
        <v>628</v>
      </c>
      <c r="M59" s="21">
        <v>18</v>
      </c>
      <c r="N59" s="21" t="s">
        <v>31</v>
      </c>
      <c r="O59" s="23" t="s">
        <v>30</v>
      </c>
      <c r="P59" s="23">
        <v>27</v>
      </c>
      <c r="Q59" s="23">
        <v>350</v>
      </c>
      <c r="R59" s="23">
        <v>35</v>
      </c>
      <c r="S59" s="23">
        <v>250</v>
      </c>
    </row>
    <row r="60" spans="1:19" x14ac:dyDescent="0.25">
      <c r="A60" s="19">
        <v>56</v>
      </c>
      <c r="B60" s="19"/>
      <c r="C60" s="19"/>
      <c r="D60" s="19"/>
      <c r="E60" s="19"/>
      <c r="F60" s="19"/>
      <c r="G60" s="28"/>
      <c r="H60" s="19"/>
      <c r="I60" s="19"/>
      <c r="J60" s="19">
        <v>993</v>
      </c>
      <c r="K60" s="29">
        <f t="shared" si="6"/>
        <v>1.920696324951644</v>
      </c>
      <c r="L60" s="21">
        <v>517</v>
      </c>
      <c r="M60" s="21">
        <v>2</v>
      </c>
      <c r="N60" s="21" t="s">
        <v>31</v>
      </c>
      <c r="O60" s="23" t="s">
        <v>30</v>
      </c>
      <c r="P60" s="23">
        <v>15</v>
      </c>
      <c r="Q60" s="23">
        <v>750</v>
      </c>
      <c r="R60" s="23">
        <v>22</v>
      </c>
      <c r="S60" s="23">
        <v>350</v>
      </c>
    </row>
    <row r="61" spans="1:19" x14ac:dyDescent="0.25">
      <c r="A61" s="19">
        <v>57</v>
      </c>
      <c r="B61" s="19"/>
      <c r="C61" s="19"/>
      <c r="D61" s="19"/>
      <c r="E61" s="19"/>
      <c r="F61" s="19"/>
      <c r="G61" s="28"/>
      <c r="H61" s="19"/>
      <c r="I61" s="19"/>
      <c r="J61" s="19">
        <v>1309</v>
      </c>
      <c r="K61" s="29">
        <f t="shared" si="6"/>
        <v>1.3050847457627119</v>
      </c>
      <c r="L61" s="21">
        <v>1003</v>
      </c>
      <c r="M61" s="21">
        <v>95</v>
      </c>
      <c r="N61" s="21" t="s">
        <v>31</v>
      </c>
      <c r="O61" s="23" t="s">
        <v>32</v>
      </c>
      <c r="P61" s="23">
        <v>32</v>
      </c>
      <c r="Q61" s="23">
        <v>150</v>
      </c>
      <c r="R61" s="23">
        <v>49</v>
      </c>
      <c r="S61" s="23">
        <v>100</v>
      </c>
    </row>
    <row r="62" spans="1:19" x14ac:dyDescent="0.25">
      <c r="A62" s="19">
        <v>58</v>
      </c>
      <c r="B62" s="19"/>
      <c r="C62" s="19"/>
      <c r="D62" s="19"/>
      <c r="E62" s="19"/>
      <c r="F62" s="19"/>
      <c r="G62" s="28"/>
      <c r="H62" s="19"/>
      <c r="I62" s="19"/>
      <c r="J62" s="19">
        <v>1350</v>
      </c>
      <c r="K62" s="29">
        <f t="shared" si="6"/>
        <v>1.948051948051948</v>
      </c>
      <c r="L62" s="21">
        <v>693</v>
      </c>
      <c r="M62" s="21">
        <v>4</v>
      </c>
      <c r="N62" s="21" t="s">
        <v>31</v>
      </c>
      <c r="O62" s="23" t="s">
        <v>30</v>
      </c>
      <c r="P62" s="23">
        <v>13</v>
      </c>
      <c r="Q62" s="23">
        <v>600</v>
      </c>
      <c r="R62" s="23">
        <v>20</v>
      </c>
      <c r="S62" s="23">
        <v>450</v>
      </c>
    </row>
    <row r="63" spans="1:19" x14ac:dyDescent="0.25">
      <c r="A63" s="19">
        <v>59</v>
      </c>
      <c r="B63" s="19"/>
      <c r="C63" s="19"/>
      <c r="D63" s="19"/>
      <c r="E63" s="19"/>
      <c r="F63" s="19"/>
      <c r="G63" s="28"/>
      <c r="H63" s="19"/>
      <c r="I63" s="19"/>
      <c r="J63" s="19">
        <v>1383</v>
      </c>
      <c r="K63" s="29">
        <f t="shared" si="6"/>
        <v>1.3816183816183816</v>
      </c>
      <c r="L63" s="21">
        <v>1001</v>
      </c>
      <c r="M63" s="21">
        <v>44</v>
      </c>
      <c r="N63" s="21" t="s">
        <v>31</v>
      </c>
      <c r="O63" s="23" t="s">
        <v>40</v>
      </c>
      <c r="P63" s="23">
        <v>34</v>
      </c>
      <c r="Q63" s="23">
        <v>250</v>
      </c>
      <c r="R63" s="23">
        <v>41</v>
      </c>
      <c r="S63" s="23">
        <v>125</v>
      </c>
    </row>
    <row r="64" spans="1:19" x14ac:dyDescent="0.25">
      <c r="A64" s="19">
        <v>60</v>
      </c>
      <c r="B64" s="19"/>
      <c r="C64" s="19"/>
      <c r="D64" s="19"/>
      <c r="E64" s="19"/>
      <c r="F64" s="19"/>
      <c r="G64" s="28"/>
      <c r="H64" s="19"/>
      <c r="I64" s="19"/>
      <c r="J64" s="19">
        <v>1333</v>
      </c>
      <c r="K64" s="29">
        <f t="shared" si="6"/>
        <v>1.3519269776876268</v>
      </c>
      <c r="L64" s="21">
        <v>986</v>
      </c>
      <c r="M64" s="21">
        <v>142</v>
      </c>
      <c r="N64" s="21" t="s">
        <v>31</v>
      </c>
      <c r="O64" s="23" t="s">
        <v>40</v>
      </c>
      <c r="P64" s="23">
        <v>31</v>
      </c>
      <c r="Q64" s="23">
        <v>250</v>
      </c>
      <c r="R64" s="23">
        <v>37</v>
      </c>
      <c r="S64" s="23">
        <v>125</v>
      </c>
    </row>
    <row r="65" spans="1:19" x14ac:dyDescent="0.25">
      <c r="A65" s="19">
        <v>61</v>
      </c>
      <c r="B65" s="19"/>
      <c r="C65" s="19"/>
      <c r="D65" s="19"/>
      <c r="E65" s="19"/>
      <c r="F65" s="19"/>
      <c r="G65" s="28"/>
      <c r="H65" s="19"/>
      <c r="I65" s="19"/>
      <c r="J65" s="19">
        <v>1377</v>
      </c>
      <c r="K65" s="29">
        <f t="shared" si="6"/>
        <v>1.3593287265547878</v>
      </c>
      <c r="L65" s="21">
        <v>1013</v>
      </c>
      <c r="M65" s="21">
        <v>84</v>
      </c>
      <c r="N65" s="21" t="s">
        <v>31</v>
      </c>
      <c r="O65" s="23" t="s">
        <v>40</v>
      </c>
      <c r="P65" s="23">
        <v>33</v>
      </c>
      <c r="Q65" s="23">
        <v>150</v>
      </c>
      <c r="R65" s="23">
        <v>40</v>
      </c>
      <c r="S65" s="23">
        <v>80</v>
      </c>
    </row>
    <row r="66" spans="1:19" x14ac:dyDescent="0.25">
      <c r="A66" s="19">
        <v>62</v>
      </c>
      <c r="B66" s="19"/>
      <c r="C66" s="19"/>
      <c r="D66" s="19"/>
      <c r="E66" s="19"/>
      <c r="F66" s="19"/>
      <c r="G66" s="28"/>
      <c r="H66" s="19"/>
      <c r="I66" s="19"/>
      <c r="J66" s="19">
        <v>1246</v>
      </c>
      <c r="K66" s="29">
        <f t="shared" si="6"/>
        <v>1.5872611464968154</v>
      </c>
      <c r="L66" s="21">
        <v>785</v>
      </c>
      <c r="M66" s="21">
        <v>24</v>
      </c>
      <c r="N66" s="21" t="s">
        <v>31</v>
      </c>
      <c r="O66" s="23" t="s">
        <v>50</v>
      </c>
      <c r="P66" s="23">
        <v>25</v>
      </c>
      <c r="Q66" s="23">
        <v>450</v>
      </c>
      <c r="R66" s="23">
        <v>32</v>
      </c>
      <c r="S66" s="23">
        <v>200</v>
      </c>
    </row>
    <row r="67" spans="1:19" x14ac:dyDescent="0.25">
      <c r="A67" s="19">
        <v>63</v>
      </c>
      <c r="B67" s="19"/>
      <c r="C67" s="19"/>
      <c r="D67" s="19"/>
      <c r="E67" s="19"/>
      <c r="F67" s="19"/>
      <c r="G67" s="28"/>
      <c r="H67" s="19"/>
      <c r="I67" s="19"/>
      <c r="J67" s="19">
        <v>1122</v>
      </c>
      <c r="K67" s="29">
        <f t="shared" si="6"/>
        <v>1.6771300448430493</v>
      </c>
      <c r="L67" s="21">
        <v>669</v>
      </c>
      <c r="M67" s="21">
        <v>22</v>
      </c>
      <c r="N67" s="21" t="s">
        <v>31</v>
      </c>
      <c r="O67" s="23" t="s">
        <v>30</v>
      </c>
      <c r="P67" s="23">
        <v>21</v>
      </c>
      <c r="Q67" s="23">
        <v>500</v>
      </c>
      <c r="R67" s="23">
        <v>31</v>
      </c>
      <c r="S67" s="23">
        <v>300</v>
      </c>
    </row>
    <row r="68" spans="1:19" x14ac:dyDescent="0.25">
      <c r="A68" s="19">
        <v>64</v>
      </c>
      <c r="B68" s="19"/>
      <c r="C68" s="19"/>
      <c r="D68" s="19"/>
      <c r="E68" s="19"/>
      <c r="F68" s="19"/>
      <c r="G68" s="28"/>
      <c r="H68" s="19"/>
      <c r="I68" s="19"/>
      <c r="J68" s="19">
        <v>1322</v>
      </c>
      <c r="K68" s="29">
        <f t="shared" si="6"/>
        <v>1.5626477541371158</v>
      </c>
      <c r="L68" s="21">
        <v>846</v>
      </c>
      <c r="M68" s="21">
        <v>51</v>
      </c>
      <c r="N68" s="21" t="s">
        <v>31</v>
      </c>
      <c r="O68" s="23" t="s">
        <v>50</v>
      </c>
      <c r="P68" s="23">
        <v>28</v>
      </c>
      <c r="Q68" s="23">
        <v>450</v>
      </c>
      <c r="R68" s="23">
        <v>35</v>
      </c>
      <c r="S68" s="23">
        <v>200</v>
      </c>
    </row>
    <row r="69" spans="1:19" x14ac:dyDescent="0.25">
      <c r="A69" s="19">
        <v>65</v>
      </c>
      <c r="B69" s="19"/>
      <c r="C69" s="19"/>
      <c r="D69" s="19"/>
      <c r="E69" s="19"/>
      <c r="F69" s="19"/>
      <c r="G69" s="28"/>
      <c r="H69" s="19"/>
      <c r="I69" s="19"/>
      <c r="J69" s="19">
        <v>1051</v>
      </c>
      <c r="K69" s="29">
        <f t="shared" si="6"/>
        <v>1.3121098626716605</v>
      </c>
      <c r="L69" s="21">
        <v>801</v>
      </c>
      <c r="M69" s="21">
        <v>96</v>
      </c>
      <c r="N69" s="21" t="s">
        <v>31</v>
      </c>
      <c r="O69" s="23" t="s">
        <v>32</v>
      </c>
      <c r="P69" s="23">
        <v>30</v>
      </c>
      <c r="Q69" s="23">
        <v>200</v>
      </c>
      <c r="R69" s="23">
        <v>37</v>
      </c>
      <c r="S69" s="23">
        <v>100</v>
      </c>
    </row>
    <row r="70" spans="1:19" x14ac:dyDescent="0.25">
      <c r="A70" s="19">
        <v>66</v>
      </c>
      <c r="B70" s="19"/>
      <c r="C70" s="19"/>
      <c r="D70" s="19"/>
      <c r="E70" s="19"/>
      <c r="F70" s="19"/>
      <c r="G70" s="28"/>
      <c r="H70" s="19"/>
      <c r="I70" s="19"/>
      <c r="J70" s="19">
        <v>985</v>
      </c>
      <c r="K70" s="29">
        <f t="shared" si="6"/>
        <v>1.2547770700636942</v>
      </c>
      <c r="L70" s="21">
        <v>785</v>
      </c>
      <c r="M70" s="21">
        <v>190</v>
      </c>
      <c r="N70" s="21" t="s">
        <v>31</v>
      </c>
      <c r="O70" s="23" t="s">
        <v>42</v>
      </c>
      <c r="P70" s="23">
        <v>32</v>
      </c>
      <c r="Q70" s="23">
        <v>250</v>
      </c>
      <c r="R70" s="23">
        <v>38</v>
      </c>
      <c r="S70" s="23">
        <v>100</v>
      </c>
    </row>
    <row r="71" spans="1:19" x14ac:dyDescent="0.25">
      <c r="A71" s="19">
        <v>67</v>
      </c>
      <c r="B71" s="19"/>
      <c r="C71" s="19"/>
      <c r="D71" s="19"/>
      <c r="E71" s="19"/>
      <c r="F71" s="19"/>
      <c r="G71" s="28"/>
      <c r="H71" s="19"/>
      <c r="I71" s="19"/>
      <c r="J71" s="19">
        <v>1099</v>
      </c>
      <c r="K71" s="29">
        <f t="shared" si="6"/>
        <v>1.4891598915989159</v>
      </c>
      <c r="L71" s="21">
        <v>738</v>
      </c>
      <c r="M71" s="21">
        <v>63</v>
      </c>
      <c r="N71" s="21" t="s">
        <v>31</v>
      </c>
      <c r="O71" s="23" t="s">
        <v>50</v>
      </c>
      <c r="P71" s="23">
        <v>28</v>
      </c>
      <c r="Q71" s="23">
        <v>500</v>
      </c>
      <c r="R71" s="23">
        <v>31</v>
      </c>
      <c r="S71" s="23">
        <v>250</v>
      </c>
    </row>
    <row r="72" spans="1:19" x14ac:dyDescent="0.25">
      <c r="A72" s="19">
        <v>68</v>
      </c>
      <c r="B72" s="19"/>
      <c r="C72" s="19"/>
      <c r="D72" s="19"/>
      <c r="E72" s="19"/>
      <c r="F72" s="19"/>
      <c r="G72" s="28"/>
      <c r="H72" s="19"/>
      <c r="I72" s="19"/>
      <c r="J72" s="19">
        <v>960</v>
      </c>
      <c r="K72" s="29">
        <f t="shared" si="6"/>
        <v>1.6580310880829014</v>
      </c>
      <c r="L72" s="21">
        <v>579</v>
      </c>
      <c r="M72" s="21">
        <v>3</v>
      </c>
      <c r="N72" s="21" t="s">
        <v>31</v>
      </c>
      <c r="O72" s="23" t="s">
        <v>30</v>
      </c>
      <c r="P72" s="23">
        <v>15</v>
      </c>
      <c r="Q72" s="23">
        <v>750</v>
      </c>
      <c r="R72" s="23">
        <v>24</v>
      </c>
      <c r="S72" s="23">
        <v>600</v>
      </c>
    </row>
    <row r="73" spans="1:19" x14ac:dyDescent="0.25">
      <c r="A73" s="19">
        <v>69</v>
      </c>
      <c r="B73" s="19"/>
      <c r="C73" s="19"/>
      <c r="D73" s="19"/>
      <c r="E73" s="19"/>
      <c r="F73" s="19"/>
      <c r="G73" s="28"/>
      <c r="H73" s="19"/>
      <c r="I73" s="19"/>
      <c r="J73" s="19">
        <v>1090</v>
      </c>
      <c r="K73" s="29">
        <f t="shared" si="6"/>
        <v>1.835016835016835</v>
      </c>
      <c r="L73" s="21">
        <v>594</v>
      </c>
      <c r="M73" s="21">
        <v>15</v>
      </c>
      <c r="N73" s="21" t="s">
        <v>31</v>
      </c>
      <c r="O73" s="23" t="s">
        <v>30</v>
      </c>
      <c r="P73" s="23">
        <v>26</v>
      </c>
      <c r="Q73" s="23">
        <v>500</v>
      </c>
      <c r="R73" s="23">
        <v>34</v>
      </c>
      <c r="S73" s="23">
        <v>250</v>
      </c>
    </row>
    <row r="74" spans="1:19" x14ac:dyDescent="0.25">
      <c r="A74" s="19">
        <v>70</v>
      </c>
      <c r="B74" s="19"/>
      <c r="C74" s="19"/>
      <c r="D74" s="19"/>
      <c r="E74" s="19"/>
      <c r="F74" s="19"/>
      <c r="G74" s="28"/>
      <c r="H74" s="19"/>
      <c r="I74" s="19"/>
      <c r="J74" s="19">
        <v>1019</v>
      </c>
      <c r="K74" s="29">
        <f t="shared" ref="K74:K129" si="8">J74/L74</f>
        <v>1.2549261083743843</v>
      </c>
      <c r="L74" s="21">
        <v>812</v>
      </c>
      <c r="M74" s="21">
        <v>135</v>
      </c>
      <c r="N74" s="21" t="s">
        <v>31</v>
      </c>
      <c r="O74" s="23" t="s">
        <v>42</v>
      </c>
      <c r="P74" s="23">
        <v>31</v>
      </c>
      <c r="Q74" s="23">
        <v>150</v>
      </c>
      <c r="R74" s="23">
        <v>38</v>
      </c>
      <c r="S74" s="23">
        <v>150</v>
      </c>
    </row>
    <row r="75" spans="1:19" x14ac:dyDescent="0.25">
      <c r="A75" s="19">
        <v>71</v>
      </c>
      <c r="B75" s="19"/>
      <c r="C75" s="19"/>
      <c r="D75" s="19"/>
      <c r="E75" s="19"/>
      <c r="F75" s="19"/>
      <c r="G75" s="28"/>
      <c r="H75" s="19"/>
      <c r="I75" s="19"/>
      <c r="J75" s="19">
        <v>1245</v>
      </c>
      <c r="K75" s="29">
        <f t="shared" si="8"/>
        <v>1.5543071161048689</v>
      </c>
      <c r="L75" s="21">
        <v>801</v>
      </c>
      <c r="M75" s="21">
        <v>85</v>
      </c>
      <c r="N75" s="21" t="s">
        <v>31</v>
      </c>
      <c r="O75" s="23" t="s">
        <v>50</v>
      </c>
      <c r="P75" s="23">
        <v>29</v>
      </c>
      <c r="Q75" s="23">
        <v>450</v>
      </c>
      <c r="R75" s="23">
        <v>37</v>
      </c>
      <c r="S75" s="23">
        <v>200</v>
      </c>
    </row>
    <row r="76" spans="1:19" x14ac:dyDescent="0.25">
      <c r="A76" s="19">
        <v>72</v>
      </c>
      <c r="B76" s="19"/>
      <c r="C76" s="19"/>
      <c r="D76" s="19"/>
      <c r="E76" s="19"/>
      <c r="F76" s="19"/>
      <c r="G76" s="28"/>
      <c r="H76" s="19"/>
      <c r="I76" s="19"/>
      <c r="J76" s="19">
        <v>1196</v>
      </c>
      <c r="K76" s="29">
        <f t="shared" si="8"/>
        <v>1.7850746268656716</v>
      </c>
      <c r="L76" s="21">
        <v>670</v>
      </c>
      <c r="M76" s="21">
        <v>40</v>
      </c>
      <c r="N76" s="21" t="s">
        <v>31</v>
      </c>
      <c r="O76" s="23" t="s">
        <v>30</v>
      </c>
      <c r="P76" s="23">
        <v>21</v>
      </c>
      <c r="Q76" s="23">
        <v>600</v>
      </c>
      <c r="R76" s="23">
        <v>29</v>
      </c>
      <c r="S76" s="23">
        <v>350</v>
      </c>
    </row>
    <row r="77" spans="1:19" x14ac:dyDescent="0.25">
      <c r="A77" s="19">
        <v>73</v>
      </c>
      <c r="B77" s="19"/>
      <c r="C77" s="19"/>
      <c r="D77" s="19"/>
      <c r="E77" s="19"/>
      <c r="F77" s="19"/>
      <c r="G77" s="28"/>
      <c r="H77" s="19"/>
      <c r="I77" s="19"/>
      <c r="J77" s="19">
        <v>866</v>
      </c>
      <c r="K77" s="29">
        <f t="shared" si="8"/>
        <v>1.6685934489402698</v>
      </c>
      <c r="L77" s="21">
        <v>519</v>
      </c>
      <c r="M77" s="21">
        <v>3</v>
      </c>
      <c r="N77" s="21" t="s">
        <v>31</v>
      </c>
      <c r="O77" s="23" t="s">
        <v>30</v>
      </c>
      <c r="P77" s="23">
        <v>21</v>
      </c>
      <c r="Q77" s="23">
        <v>600</v>
      </c>
      <c r="R77" s="23">
        <v>29</v>
      </c>
      <c r="S77" s="23">
        <v>350</v>
      </c>
    </row>
    <row r="78" spans="1:19" x14ac:dyDescent="0.25">
      <c r="A78" s="19">
        <v>74</v>
      </c>
      <c r="B78" s="19"/>
      <c r="C78" s="19"/>
      <c r="D78" s="19"/>
      <c r="E78" s="19"/>
      <c r="F78" s="19"/>
      <c r="G78" s="28"/>
      <c r="H78" s="19"/>
      <c r="I78" s="19"/>
      <c r="J78" s="19">
        <v>1144</v>
      </c>
      <c r="K78" s="29">
        <f t="shared" si="8"/>
        <v>1.7959183673469388</v>
      </c>
      <c r="L78" s="21">
        <v>637</v>
      </c>
      <c r="M78" s="21">
        <v>50</v>
      </c>
      <c r="N78" s="21" t="s">
        <v>31</v>
      </c>
      <c r="O78" s="23" t="s">
        <v>30</v>
      </c>
      <c r="P78" s="23">
        <v>24</v>
      </c>
      <c r="Q78" s="23">
        <v>600</v>
      </c>
      <c r="R78" s="23">
        <v>32</v>
      </c>
      <c r="S78" s="23">
        <v>300</v>
      </c>
    </row>
    <row r="79" spans="1:19" x14ac:dyDescent="0.25">
      <c r="A79" s="19">
        <v>75</v>
      </c>
      <c r="B79" s="19"/>
      <c r="C79" s="19"/>
      <c r="D79" s="19"/>
      <c r="E79" s="19"/>
      <c r="F79" s="19"/>
      <c r="G79" s="28"/>
      <c r="H79" s="19"/>
      <c r="I79" s="19"/>
      <c r="J79" s="19">
        <v>966</v>
      </c>
      <c r="K79" s="29">
        <f t="shared" si="8"/>
        <v>1.2044887780548628</v>
      </c>
      <c r="L79" s="21">
        <v>802</v>
      </c>
      <c r="M79" s="21">
        <v>192</v>
      </c>
      <c r="N79" s="21" t="s">
        <v>31</v>
      </c>
      <c r="O79" s="23" t="s">
        <v>42</v>
      </c>
      <c r="P79" s="23">
        <v>32</v>
      </c>
      <c r="Q79" s="23">
        <v>150</v>
      </c>
      <c r="R79" s="23">
        <v>39</v>
      </c>
      <c r="S79" s="23">
        <v>80</v>
      </c>
    </row>
    <row r="80" spans="1:19" x14ac:dyDescent="0.25">
      <c r="A80" s="19">
        <v>76</v>
      </c>
      <c r="B80" s="19"/>
      <c r="C80" s="19"/>
      <c r="D80" s="19"/>
      <c r="E80" s="19"/>
      <c r="F80" s="19"/>
      <c r="G80" s="28"/>
      <c r="H80" s="19"/>
      <c r="I80" s="19"/>
      <c r="J80" s="19">
        <v>1403</v>
      </c>
      <c r="K80" s="29">
        <f t="shared" si="8"/>
        <v>1.3608147429679922</v>
      </c>
      <c r="L80" s="21">
        <v>1031</v>
      </c>
      <c r="M80" s="21">
        <v>85</v>
      </c>
      <c r="N80" s="21" t="s">
        <v>31</v>
      </c>
      <c r="O80" s="23" t="s">
        <v>40</v>
      </c>
      <c r="P80" s="23">
        <v>31</v>
      </c>
      <c r="Q80" s="23">
        <v>250</v>
      </c>
      <c r="R80" s="23">
        <v>39</v>
      </c>
      <c r="S80" s="23">
        <v>125</v>
      </c>
    </row>
    <row r="81" spans="1:19" x14ac:dyDescent="0.25">
      <c r="A81" s="19">
        <v>77</v>
      </c>
      <c r="B81" s="19"/>
      <c r="C81" s="19"/>
      <c r="D81" s="19"/>
      <c r="E81" s="19"/>
      <c r="F81" s="19"/>
      <c r="G81" s="28"/>
      <c r="H81" s="19"/>
      <c r="I81" s="19"/>
      <c r="J81" s="19">
        <v>1168</v>
      </c>
      <c r="K81" s="29">
        <f t="shared" si="8"/>
        <v>1.5188556566970091</v>
      </c>
      <c r="L81" s="21">
        <v>769</v>
      </c>
      <c r="M81" s="21">
        <v>11</v>
      </c>
      <c r="N81" s="21" t="s">
        <v>31</v>
      </c>
      <c r="O81" s="23" t="s">
        <v>50</v>
      </c>
      <c r="P81" s="23">
        <v>20</v>
      </c>
      <c r="Q81" s="23">
        <v>500</v>
      </c>
      <c r="R81" s="23">
        <v>27</v>
      </c>
      <c r="S81" s="23">
        <v>250</v>
      </c>
    </row>
    <row r="82" spans="1:19" x14ac:dyDescent="0.25">
      <c r="A82" s="19">
        <v>78</v>
      </c>
      <c r="B82" s="19"/>
      <c r="C82" s="19"/>
      <c r="D82" s="19"/>
      <c r="E82" s="19"/>
      <c r="F82" s="19"/>
      <c r="G82" s="28"/>
      <c r="H82" s="19"/>
      <c r="I82" s="19"/>
      <c r="J82" s="19">
        <v>1039</v>
      </c>
      <c r="K82" s="29">
        <f t="shared" si="8"/>
        <v>1.5014450867052023</v>
      </c>
      <c r="L82" s="21">
        <v>692</v>
      </c>
      <c r="M82" s="21">
        <v>2</v>
      </c>
      <c r="N82" s="21" t="s">
        <v>31</v>
      </c>
      <c r="O82" s="23" t="s">
        <v>50</v>
      </c>
      <c r="P82" s="23">
        <v>14</v>
      </c>
      <c r="Q82" s="23">
        <v>900</v>
      </c>
      <c r="R82" s="23">
        <v>21</v>
      </c>
      <c r="S82" s="23">
        <v>500</v>
      </c>
    </row>
    <row r="83" spans="1:19" x14ac:dyDescent="0.25">
      <c r="A83" s="19">
        <v>79</v>
      </c>
      <c r="B83" s="19"/>
      <c r="C83" s="19"/>
      <c r="D83" s="19"/>
      <c r="E83" s="19"/>
      <c r="F83" s="19"/>
      <c r="G83" s="28"/>
      <c r="H83" s="19"/>
      <c r="I83" s="19"/>
      <c r="J83" s="19">
        <v>1407</v>
      </c>
      <c r="K83" s="29">
        <f t="shared" si="8"/>
        <v>1.5461538461538462</v>
      </c>
      <c r="L83" s="21">
        <v>910</v>
      </c>
      <c r="M83" s="21">
        <v>37</v>
      </c>
      <c r="N83" s="21" t="s">
        <v>31</v>
      </c>
      <c r="O83" s="23" t="s">
        <v>50</v>
      </c>
      <c r="P83" s="23">
        <v>25</v>
      </c>
      <c r="Q83" s="23">
        <v>400</v>
      </c>
      <c r="R83" s="23">
        <v>33</v>
      </c>
      <c r="S83" s="23">
        <v>200</v>
      </c>
    </row>
    <row r="84" spans="1:19" x14ac:dyDescent="0.25">
      <c r="A84" s="19">
        <v>80</v>
      </c>
      <c r="B84" s="19"/>
      <c r="C84" s="19"/>
      <c r="D84" s="19"/>
      <c r="E84" s="19"/>
      <c r="F84" s="19"/>
      <c r="G84" s="28"/>
      <c r="H84" s="19"/>
      <c r="I84" s="19"/>
      <c r="J84" s="19">
        <v>1154</v>
      </c>
      <c r="K84" s="29">
        <f t="shared" si="8"/>
        <v>1.3158494868871151</v>
      </c>
      <c r="L84" s="21">
        <v>877</v>
      </c>
      <c r="M84" s="21">
        <v>7</v>
      </c>
      <c r="N84" s="21" t="s">
        <v>43</v>
      </c>
      <c r="O84" s="23" t="s">
        <v>32</v>
      </c>
      <c r="P84" s="23"/>
      <c r="Q84" s="23"/>
      <c r="R84" s="23"/>
      <c r="S84" s="23"/>
    </row>
    <row r="85" spans="1:19" x14ac:dyDescent="0.25">
      <c r="A85" s="19">
        <v>81</v>
      </c>
      <c r="B85" s="19"/>
      <c r="C85" s="19"/>
      <c r="D85" s="19"/>
      <c r="E85" s="19"/>
      <c r="F85" s="19"/>
      <c r="G85" s="28"/>
      <c r="H85" s="19"/>
      <c r="I85" s="19"/>
      <c r="J85" s="19">
        <v>1146</v>
      </c>
      <c r="K85" s="29">
        <f t="shared" si="8"/>
        <v>1.3514150943396226</v>
      </c>
      <c r="L85" s="21">
        <v>848</v>
      </c>
      <c r="M85" s="21">
        <v>90</v>
      </c>
      <c r="N85" s="21" t="s">
        <v>31</v>
      </c>
      <c r="O85" s="23" t="s">
        <v>40</v>
      </c>
      <c r="P85" s="23"/>
      <c r="Q85" s="23"/>
      <c r="R85" s="23"/>
      <c r="S85" s="23"/>
    </row>
    <row r="86" spans="1:19" x14ac:dyDescent="0.25">
      <c r="A86" s="19">
        <v>82</v>
      </c>
      <c r="B86" s="19"/>
      <c r="C86" s="19"/>
      <c r="D86" s="19"/>
      <c r="E86" s="19"/>
      <c r="F86" s="19"/>
      <c r="G86" s="28"/>
      <c r="H86" s="19"/>
      <c r="I86" s="19"/>
      <c r="J86" s="19">
        <v>2260</v>
      </c>
      <c r="K86" s="29">
        <f t="shared" si="8"/>
        <v>2.4862486248624864</v>
      </c>
      <c r="L86" s="21">
        <v>909</v>
      </c>
      <c r="M86" s="21">
        <v>14</v>
      </c>
      <c r="N86" s="21" t="s">
        <v>29</v>
      </c>
      <c r="O86" s="23" t="s">
        <v>30</v>
      </c>
      <c r="P86" s="23"/>
      <c r="Q86" s="23"/>
      <c r="R86" s="23"/>
      <c r="S86" s="23"/>
    </row>
    <row r="87" spans="1:19" x14ac:dyDescent="0.25">
      <c r="A87" s="19">
        <v>83</v>
      </c>
      <c r="B87" s="19"/>
      <c r="C87" s="19"/>
      <c r="D87" s="19"/>
      <c r="E87" s="19"/>
      <c r="F87" s="19"/>
      <c r="G87" s="28"/>
      <c r="H87" s="19"/>
      <c r="I87" s="19"/>
      <c r="J87" s="19">
        <v>2015</v>
      </c>
      <c r="K87" s="29">
        <f t="shared" si="8"/>
        <v>2.2564389697648375</v>
      </c>
      <c r="L87" s="21">
        <v>893</v>
      </c>
      <c r="M87" s="21">
        <v>15</v>
      </c>
      <c r="N87" s="21" t="s">
        <v>29</v>
      </c>
      <c r="O87" s="23" t="s">
        <v>30</v>
      </c>
      <c r="P87" s="23"/>
      <c r="Q87" s="23"/>
      <c r="R87" s="23"/>
      <c r="S87" s="23"/>
    </row>
    <row r="88" spans="1:19" x14ac:dyDescent="0.25">
      <c r="A88" s="19">
        <v>84</v>
      </c>
      <c r="B88" s="19"/>
      <c r="C88" s="19"/>
      <c r="D88" s="19"/>
      <c r="E88" s="19"/>
      <c r="F88" s="19"/>
      <c r="G88" s="28"/>
      <c r="H88" s="19"/>
      <c r="I88" s="19"/>
      <c r="J88" s="19">
        <v>1645</v>
      </c>
      <c r="K88" s="29">
        <f t="shared" si="8"/>
        <v>1.1954941860465116</v>
      </c>
      <c r="L88" s="21">
        <v>1376</v>
      </c>
      <c r="M88" s="21">
        <v>245</v>
      </c>
      <c r="N88" s="21" t="s">
        <v>29</v>
      </c>
      <c r="O88" s="23" t="s">
        <v>42</v>
      </c>
      <c r="P88" s="23"/>
      <c r="Q88" s="23"/>
      <c r="R88" s="23"/>
      <c r="S88" s="23"/>
    </row>
    <row r="89" spans="1:19" x14ac:dyDescent="0.25">
      <c r="A89" s="19">
        <v>85</v>
      </c>
      <c r="B89" s="19"/>
      <c r="C89" s="19"/>
      <c r="D89" s="19"/>
      <c r="E89" s="19"/>
      <c r="F89" s="19"/>
      <c r="G89" s="28"/>
      <c r="H89" s="19"/>
      <c r="I89" s="19"/>
      <c r="J89" s="19">
        <v>611</v>
      </c>
      <c r="K89" s="29">
        <f t="shared" si="8"/>
        <v>1.5390428211586902</v>
      </c>
      <c r="L89" s="21">
        <v>397</v>
      </c>
      <c r="M89" s="21">
        <v>57</v>
      </c>
      <c r="N89" s="21" t="s">
        <v>29</v>
      </c>
      <c r="O89" s="23" t="s">
        <v>50</v>
      </c>
      <c r="P89" s="23"/>
      <c r="Q89" s="23"/>
      <c r="R89" s="23"/>
      <c r="S89" s="23"/>
    </row>
    <row r="90" spans="1:19" x14ac:dyDescent="0.25">
      <c r="A90" s="19">
        <v>86</v>
      </c>
      <c r="B90" s="19"/>
      <c r="C90" s="19"/>
      <c r="D90" s="19"/>
      <c r="E90" s="19"/>
      <c r="F90" s="19"/>
      <c r="G90" s="28"/>
      <c r="H90" s="19"/>
      <c r="I90" s="19"/>
      <c r="J90" s="19">
        <v>778</v>
      </c>
      <c r="K90" s="29">
        <f t="shared" si="8"/>
        <v>1.5106796116504855</v>
      </c>
      <c r="L90" s="21">
        <v>515</v>
      </c>
      <c r="M90" s="21">
        <v>42</v>
      </c>
      <c r="N90" s="21" t="s">
        <v>46</v>
      </c>
      <c r="O90" s="23" t="s">
        <v>50</v>
      </c>
      <c r="P90" s="23"/>
      <c r="Q90" s="23"/>
      <c r="R90" s="23"/>
      <c r="S90" s="23"/>
    </row>
    <row r="91" spans="1:19" x14ac:dyDescent="0.25">
      <c r="A91" s="19">
        <v>87</v>
      </c>
      <c r="B91" s="19"/>
      <c r="C91" s="19"/>
      <c r="D91" s="19"/>
      <c r="E91" s="19"/>
      <c r="F91" s="19"/>
      <c r="G91" s="28"/>
      <c r="H91" s="19"/>
      <c r="I91" s="19"/>
      <c r="J91" s="19">
        <v>680</v>
      </c>
      <c r="K91" s="29">
        <f t="shared" si="8"/>
        <v>1.4166666666666667</v>
      </c>
      <c r="L91" s="21">
        <v>480</v>
      </c>
      <c r="M91" s="21">
        <v>31</v>
      </c>
      <c r="N91" s="21" t="s">
        <v>46</v>
      </c>
      <c r="O91" s="23" t="s">
        <v>40</v>
      </c>
      <c r="P91" s="23"/>
      <c r="Q91" s="23"/>
      <c r="R91" s="23"/>
      <c r="S91" s="23"/>
    </row>
    <row r="92" spans="1:19" x14ac:dyDescent="0.25">
      <c r="A92" s="19">
        <v>88</v>
      </c>
      <c r="B92" s="19"/>
      <c r="C92" s="19"/>
      <c r="D92" s="19"/>
      <c r="E92" s="19"/>
      <c r="F92" s="19"/>
      <c r="G92" s="28"/>
      <c r="H92" s="19"/>
      <c r="I92" s="19"/>
      <c r="J92" s="19">
        <v>808</v>
      </c>
      <c r="K92" s="29">
        <f t="shared" si="8"/>
        <v>1.562862669245648</v>
      </c>
      <c r="L92" s="21">
        <v>517</v>
      </c>
      <c r="M92" s="21">
        <v>51</v>
      </c>
      <c r="N92" s="21" t="s">
        <v>31</v>
      </c>
      <c r="O92" s="23" t="s">
        <v>50</v>
      </c>
      <c r="P92" s="23"/>
      <c r="Q92" s="23"/>
      <c r="R92" s="23"/>
      <c r="S92" s="23"/>
    </row>
    <row r="93" spans="1:19" x14ac:dyDescent="0.25">
      <c r="A93" s="19">
        <v>89</v>
      </c>
      <c r="B93" s="19"/>
      <c r="C93" s="19"/>
      <c r="D93" s="19"/>
      <c r="E93" s="19"/>
      <c r="F93" s="19"/>
      <c r="G93" s="28"/>
      <c r="H93" s="19"/>
      <c r="I93" s="19"/>
      <c r="J93" s="19">
        <v>393</v>
      </c>
      <c r="K93" s="29">
        <f t="shared" si="8"/>
        <v>1.4290909090909092</v>
      </c>
      <c r="L93" s="21">
        <v>275</v>
      </c>
      <c r="M93" s="21">
        <v>23</v>
      </c>
      <c r="N93" s="21" t="s">
        <v>47</v>
      </c>
      <c r="O93" s="23" t="s">
        <v>40</v>
      </c>
      <c r="P93" s="23"/>
      <c r="Q93" s="23"/>
      <c r="R93" s="23"/>
      <c r="S93" s="23"/>
    </row>
    <row r="94" spans="1:19" x14ac:dyDescent="0.25">
      <c r="A94" s="19">
        <v>90</v>
      </c>
      <c r="B94" s="19"/>
      <c r="C94" s="19"/>
      <c r="D94" s="19"/>
      <c r="E94" s="19"/>
      <c r="F94" s="19"/>
      <c r="G94" s="28"/>
      <c r="H94" s="19"/>
      <c r="I94" s="19"/>
      <c r="J94" s="19">
        <v>506</v>
      </c>
      <c r="K94" s="29">
        <f t="shared" si="8"/>
        <v>1.8136200716845878</v>
      </c>
      <c r="L94" s="21">
        <v>279</v>
      </c>
      <c r="M94" s="21">
        <v>5</v>
      </c>
      <c r="N94" s="21" t="s">
        <v>48</v>
      </c>
      <c r="O94" s="23" t="s">
        <v>30</v>
      </c>
      <c r="P94" s="23"/>
      <c r="Q94" s="23"/>
      <c r="R94" s="23"/>
      <c r="S94" s="23"/>
    </row>
    <row r="95" spans="1:19" x14ac:dyDescent="0.25">
      <c r="A95" s="19">
        <v>91</v>
      </c>
      <c r="B95" s="19"/>
      <c r="C95" s="19"/>
      <c r="D95" s="19"/>
      <c r="E95" s="19"/>
      <c r="F95" s="19"/>
      <c r="G95" s="28"/>
      <c r="H95" s="19"/>
      <c r="I95" s="19"/>
      <c r="J95" s="19">
        <v>922</v>
      </c>
      <c r="K95" s="29">
        <f t="shared" si="8"/>
        <v>1.7833655705996132</v>
      </c>
      <c r="L95" s="21">
        <v>517</v>
      </c>
      <c r="M95" s="21">
        <v>78</v>
      </c>
      <c r="N95" s="21" t="s">
        <v>48</v>
      </c>
      <c r="O95" s="23" t="s">
        <v>30</v>
      </c>
      <c r="P95" s="23"/>
      <c r="Q95" s="23"/>
      <c r="R95" s="23"/>
      <c r="S95" s="23"/>
    </row>
    <row r="96" spans="1:19" x14ac:dyDescent="0.25">
      <c r="A96" s="19">
        <v>92</v>
      </c>
      <c r="B96" s="19"/>
      <c r="C96" s="19"/>
      <c r="D96" s="19"/>
      <c r="E96" s="19"/>
      <c r="F96" s="19"/>
      <c r="G96" s="28"/>
      <c r="H96" s="19"/>
      <c r="I96" s="19"/>
      <c r="J96" s="19">
        <v>716</v>
      </c>
      <c r="K96" s="29">
        <f t="shared" si="8"/>
        <v>1.4702258726899384</v>
      </c>
      <c r="L96" s="21">
        <v>487</v>
      </c>
      <c r="M96" s="21">
        <v>63</v>
      </c>
      <c r="N96" s="21" t="s">
        <v>48</v>
      </c>
      <c r="O96" s="23" t="s">
        <v>50</v>
      </c>
      <c r="P96" s="23"/>
      <c r="Q96" s="23"/>
      <c r="R96" s="23"/>
      <c r="S96" s="23"/>
    </row>
    <row r="97" spans="1:19" x14ac:dyDescent="0.25">
      <c r="A97" s="19">
        <v>93</v>
      </c>
      <c r="B97" s="19"/>
      <c r="C97" s="19"/>
      <c r="D97" s="19"/>
      <c r="E97" s="19"/>
      <c r="F97" s="19"/>
      <c r="G97" s="28"/>
      <c r="H97" s="19"/>
      <c r="I97" s="19"/>
      <c r="J97" s="19">
        <v>856</v>
      </c>
      <c r="K97" s="29">
        <f t="shared" si="8"/>
        <v>1.1505376344086022</v>
      </c>
      <c r="L97" s="21">
        <v>744</v>
      </c>
      <c r="M97" s="21">
        <v>68</v>
      </c>
      <c r="N97" s="21" t="s">
        <v>49</v>
      </c>
      <c r="O97" s="23" t="s">
        <v>37</v>
      </c>
      <c r="P97" s="23"/>
      <c r="Q97" s="23"/>
      <c r="R97" s="23"/>
      <c r="S97" s="23"/>
    </row>
    <row r="98" spans="1:19" x14ac:dyDescent="0.25">
      <c r="A98" s="19">
        <v>94</v>
      </c>
      <c r="B98" s="19"/>
      <c r="C98" s="19"/>
      <c r="D98" s="19"/>
      <c r="E98" s="19"/>
      <c r="F98" s="19"/>
      <c r="G98" s="28"/>
      <c r="H98" s="19"/>
      <c r="I98" s="19"/>
      <c r="J98" s="19">
        <v>1340</v>
      </c>
      <c r="K98" s="29">
        <f t="shared" si="8"/>
        <v>1.2226277372262773</v>
      </c>
      <c r="L98" s="21">
        <v>1096</v>
      </c>
      <c r="M98" s="21">
        <v>85</v>
      </c>
      <c r="N98" s="21" t="s">
        <v>29</v>
      </c>
      <c r="O98" s="23" t="s">
        <v>42</v>
      </c>
      <c r="P98" s="23"/>
      <c r="Q98" s="23"/>
      <c r="R98" s="23"/>
      <c r="S98" s="23"/>
    </row>
    <row r="99" spans="1:19" x14ac:dyDescent="0.25">
      <c r="A99" s="19">
        <v>95</v>
      </c>
      <c r="B99" s="19"/>
      <c r="C99" s="19"/>
      <c r="D99" s="19"/>
      <c r="E99" s="19"/>
      <c r="F99" s="19"/>
      <c r="G99" s="28"/>
      <c r="H99" s="19"/>
      <c r="I99" s="19"/>
      <c r="J99" s="19">
        <v>780</v>
      </c>
      <c r="K99" s="29">
        <f t="shared" si="8"/>
        <v>1.2037037037037037</v>
      </c>
      <c r="L99" s="21">
        <v>648</v>
      </c>
      <c r="M99" s="21">
        <v>97</v>
      </c>
      <c r="N99" s="21" t="s">
        <v>29</v>
      </c>
      <c r="O99" s="23" t="s">
        <v>42</v>
      </c>
      <c r="P99" s="23"/>
      <c r="Q99" s="23"/>
      <c r="R99" s="23"/>
      <c r="S99" s="23"/>
    </row>
    <row r="100" spans="1:19" x14ac:dyDescent="0.25">
      <c r="A100" s="19">
        <v>96</v>
      </c>
      <c r="B100" s="19"/>
      <c r="C100" s="19"/>
      <c r="D100" s="19"/>
      <c r="E100" s="19"/>
      <c r="F100" s="19"/>
      <c r="G100" s="28"/>
      <c r="H100" s="19"/>
      <c r="I100" s="19"/>
      <c r="J100" s="19">
        <v>990</v>
      </c>
      <c r="K100" s="29">
        <f t="shared" si="8"/>
        <v>1.1606096131301289</v>
      </c>
      <c r="L100" s="21">
        <v>853</v>
      </c>
      <c r="M100" s="21">
        <v>102</v>
      </c>
      <c r="N100" s="21" t="s">
        <v>29</v>
      </c>
      <c r="O100" s="23" t="s">
        <v>42</v>
      </c>
      <c r="P100" s="23"/>
      <c r="Q100" s="23"/>
      <c r="R100" s="23"/>
      <c r="S100" s="23"/>
    </row>
    <row r="101" spans="1:19" x14ac:dyDescent="0.25">
      <c r="A101" s="19">
        <v>97</v>
      </c>
      <c r="B101" s="19"/>
      <c r="C101" s="19"/>
      <c r="D101" s="19"/>
      <c r="E101" s="19"/>
      <c r="F101" s="19"/>
      <c r="G101" s="28"/>
      <c r="H101" s="19"/>
      <c r="I101" s="19"/>
      <c r="J101" s="19">
        <v>813</v>
      </c>
      <c r="K101" s="29">
        <f t="shared" si="8"/>
        <v>1.2643856920684293</v>
      </c>
      <c r="L101" s="21">
        <v>643</v>
      </c>
      <c r="M101" s="21">
        <v>105</v>
      </c>
      <c r="N101" s="21" t="s">
        <v>29</v>
      </c>
      <c r="O101" s="23" t="s">
        <v>32</v>
      </c>
      <c r="P101" s="23"/>
      <c r="Q101" s="23"/>
      <c r="R101" s="23"/>
      <c r="S101" s="23"/>
    </row>
    <row r="102" spans="1:19" x14ac:dyDescent="0.25">
      <c r="A102" s="19">
        <v>98</v>
      </c>
      <c r="B102" s="19"/>
      <c r="C102" s="19"/>
      <c r="D102" s="19"/>
      <c r="E102" s="19"/>
      <c r="F102" s="19"/>
      <c r="G102" s="28"/>
      <c r="H102" s="19"/>
      <c r="I102" s="19"/>
      <c r="J102" s="19">
        <v>989</v>
      </c>
      <c r="K102" s="29">
        <f t="shared" si="8"/>
        <v>1.1499999999999999</v>
      </c>
      <c r="L102" s="21">
        <v>860</v>
      </c>
      <c r="M102" s="21">
        <v>141</v>
      </c>
      <c r="N102" s="21" t="s">
        <v>29</v>
      </c>
      <c r="O102" s="23" t="s">
        <v>37</v>
      </c>
      <c r="P102" s="23"/>
      <c r="Q102" s="23"/>
      <c r="R102" s="23"/>
      <c r="S102" s="23"/>
    </row>
    <row r="103" spans="1:19" x14ac:dyDescent="0.25">
      <c r="A103" s="19">
        <v>99</v>
      </c>
      <c r="B103" s="19"/>
      <c r="C103" s="19"/>
      <c r="D103" s="19"/>
      <c r="E103" s="19"/>
      <c r="F103" s="19"/>
      <c r="G103" s="28"/>
      <c r="H103" s="19"/>
      <c r="I103" s="19"/>
      <c r="J103" s="19">
        <v>1332</v>
      </c>
      <c r="K103" s="29">
        <f t="shared" si="8"/>
        <v>1.4478260869565218</v>
      </c>
      <c r="L103" s="21">
        <v>920</v>
      </c>
      <c r="M103" s="21">
        <v>133</v>
      </c>
      <c r="N103" s="21" t="s">
        <v>29</v>
      </c>
      <c r="O103" s="23" t="s">
        <v>40</v>
      </c>
      <c r="P103" s="23"/>
      <c r="Q103" s="23"/>
      <c r="R103" s="23"/>
      <c r="S103" s="23"/>
    </row>
    <row r="104" spans="1:19" x14ac:dyDescent="0.25">
      <c r="A104" s="19">
        <v>100</v>
      </c>
      <c r="B104" s="19"/>
      <c r="C104" s="19"/>
      <c r="D104" s="19"/>
      <c r="E104" s="19"/>
      <c r="F104" s="19"/>
      <c r="G104" s="28"/>
      <c r="H104" s="19"/>
      <c r="I104" s="19"/>
      <c r="J104" s="19">
        <v>1330</v>
      </c>
      <c r="K104" s="29">
        <f t="shared" si="8"/>
        <v>1.44880174291939</v>
      </c>
      <c r="L104" s="21">
        <v>918</v>
      </c>
      <c r="M104" s="21">
        <v>130</v>
      </c>
      <c r="N104" s="21" t="s">
        <v>29</v>
      </c>
      <c r="O104" s="23" t="s">
        <v>40</v>
      </c>
      <c r="P104" s="23"/>
      <c r="Q104" s="23"/>
      <c r="R104" s="23"/>
      <c r="S104" s="23"/>
    </row>
    <row r="105" spans="1:19" x14ac:dyDescent="0.25">
      <c r="A105" s="19">
        <v>101</v>
      </c>
      <c r="B105" s="19"/>
      <c r="C105" s="19"/>
      <c r="D105" s="19"/>
      <c r="E105" s="19"/>
      <c r="F105" s="19"/>
      <c r="G105" s="28"/>
      <c r="H105" s="19"/>
      <c r="I105" s="19"/>
      <c r="J105" s="19">
        <v>1331</v>
      </c>
      <c r="K105" s="29">
        <f t="shared" si="8"/>
        <v>1.4546448087431694</v>
      </c>
      <c r="L105" s="21">
        <v>915</v>
      </c>
      <c r="M105" s="21">
        <v>126</v>
      </c>
      <c r="N105" s="21" t="s">
        <v>29</v>
      </c>
      <c r="O105" s="23" t="s">
        <v>40</v>
      </c>
      <c r="P105" s="23"/>
      <c r="Q105" s="23"/>
      <c r="R105" s="23"/>
      <c r="S105" s="23"/>
    </row>
    <row r="106" spans="1:19" x14ac:dyDescent="0.25">
      <c r="A106" s="19">
        <v>102</v>
      </c>
      <c r="B106" s="19"/>
      <c r="C106" s="19"/>
      <c r="D106" s="19"/>
      <c r="E106" s="19"/>
      <c r="F106" s="19"/>
      <c r="G106" s="28"/>
      <c r="H106" s="19"/>
      <c r="I106" s="19"/>
      <c r="J106" s="19">
        <v>1329</v>
      </c>
      <c r="K106" s="29">
        <f t="shared" si="8"/>
        <v>1.470132743362832</v>
      </c>
      <c r="L106" s="21">
        <v>904</v>
      </c>
      <c r="M106" s="21">
        <v>120</v>
      </c>
      <c r="N106" s="21" t="s">
        <v>29</v>
      </c>
      <c r="O106" s="23" t="s">
        <v>50</v>
      </c>
      <c r="P106" s="23"/>
      <c r="Q106" s="23"/>
      <c r="R106" s="23"/>
      <c r="S106" s="23"/>
    </row>
    <row r="107" spans="1:19" x14ac:dyDescent="0.25">
      <c r="A107" s="19">
        <v>103</v>
      </c>
      <c r="B107" s="19"/>
      <c r="C107" s="19"/>
      <c r="D107" s="19"/>
      <c r="E107" s="19"/>
      <c r="F107" s="19"/>
      <c r="G107" s="28"/>
      <c r="H107" s="19"/>
      <c r="I107" s="19"/>
      <c r="J107" s="19">
        <v>1320</v>
      </c>
      <c r="K107" s="29">
        <f t="shared" si="8"/>
        <v>1.4682981090100111</v>
      </c>
      <c r="L107" s="21">
        <v>899</v>
      </c>
      <c r="M107" s="21">
        <v>114</v>
      </c>
      <c r="N107" s="21" t="s">
        <v>29</v>
      </c>
      <c r="O107" s="23" t="s">
        <v>50</v>
      </c>
      <c r="P107" s="23"/>
      <c r="Q107" s="23"/>
      <c r="R107" s="23"/>
      <c r="S107" s="23"/>
    </row>
    <row r="108" spans="1:19" x14ac:dyDescent="0.25">
      <c r="A108" s="19">
        <v>104</v>
      </c>
      <c r="B108" s="19"/>
      <c r="C108" s="19"/>
      <c r="D108" s="19"/>
      <c r="E108" s="19"/>
      <c r="F108" s="19"/>
      <c r="G108" s="28"/>
      <c r="H108" s="19"/>
      <c r="I108" s="19"/>
      <c r="J108" s="19">
        <v>1322</v>
      </c>
      <c r="K108" s="29">
        <f t="shared" si="8"/>
        <v>1.495475113122172</v>
      </c>
      <c r="L108" s="21">
        <v>884</v>
      </c>
      <c r="M108" s="21">
        <v>109</v>
      </c>
      <c r="N108" s="21" t="s">
        <v>29</v>
      </c>
      <c r="O108" s="23" t="s">
        <v>50</v>
      </c>
      <c r="P108" s="23"/>
      <c r="Q108" s="23"/>
      <c r="R108" s="23"/>
      <c r="S108" s="23"/>
    </row>
    <row r="109" spans="1:19" x14ac:dyDescent="0.25">
      <c r="A109" s="19">
        <v>105</v>
      </c>
      <c r="B109" s="19"/>
      <c r="C109" s="19"/>
      <c r="D109" s="19"/>
      <c r="E109" s="19"/>
      <c r="F109" s="19"/>
      <c r="G109" s="28"/>
      <c r="H109" s="19"/>
      <c r="I109" s="19"/>
      <c r="J109" s="19">
        <v>1319</v>
      </c>
      <c r="K109" s="29">
        <f t="shared" si="8"/>
        <v>1.5057077625570776</v>
      </c>
      <c r="L109" s="21">
        <v>876</v>
      </c>
      <c r="M109" s="21">
        <v>102</v>
      </c>
      <c r="N109" s="21" t="s">
        <v>29</v>
      </c>
      <c r="O109" s="23" t="s">
        <v>50</v>
      </c>
      <c r="P109" s="23"/>
      <c r="Q109" s="23"/>
      <c r="R109" s="23"/>
      <c r="S109" s="23"/>
    </row>
    <row r="110" spans="1:19" x14ac:dyDescent="0.25">
      <c r="A110" s="19">
        <v>106</v>
      </c>
      <c r="B110" s="19"/>
      <c r="C110" s="19"/>
      <c r="D110" s="19"/>
      <c r="E110" s="19"/>
      <c r="F110" s="19"/>
      <c r="G110" s="28"/>
      <c r="H110" s="19"/>
      <c r="I110" s="19"/>
      <c r="J110" s="19">
        <v>1316</v>
      </c>
      <c r="K110" s="29">
        <f t="shared" si="8"/>
        <v>1.5143843498273879</v>
      </c>
      <c r="L110" s="21">
        <v>869</v>
      </c>
      <c r="M110" s="21">
        <v>98</v>
      </c>
      <c r="N110" s="21" t="s">
        <v>29</v>
      </c>
      <c r="O110" s="23" t="s">
        <v>50</v>
      </c>
      <c r="P110" s="23"/>
      <c r="Q110" s="23"/>
      <c r="R110" s="23"/>
      <c r="S110" s="23"/>
    </row>
    <row r="111" spans="1:19" x14ac:dyDescent="0.25">
      <c r="A111" s="19">
        <v>107</v>
      </c>
      <c r="B111" s="19"/>
      <c r="C111" s="19"/>
      <c r="D111" s="19"/>
      <c r="E111" s="19"/>
      <c r="F111" s="19"/>
      <c r="G111" s="28"/>
      <c r="H111" s="19"/>
      <c r="I111" s="19"/>
      <c r="J111" s="19">
        <v>1317</v>
      </c>
      <c r="K111" s="29">
        <f t="shared" si="8"/>
        <v>1.5278422273781902</v>
      </c>
      <c r="L111" s="21">
        <v>862</v>
      </c>
      <c r="M111" s="21">
        <v>93</v>
      </c>
      <c r="N111" s="21" t="s">
        <v>29</v>
      </c>
      <c r="O111" s="23" t="s">
        <v>50</v>
      </c>
      <c r="P111" s="23"/>
      <c r="Q111" s="23"/>
      <c r="R111" s="23"/>
      <c r="S111" s="23"/>
    </row>
    <row r="112" spans="1:19" x14ac:dyDescent="0.25">
      <c r="A112" s="19">
        <v>108</v>
      </c>
      <c r="B112" s="19"/>
      <c r="C112" s="19"/>
      <c r="D112" s="19"/>
      <c r="E112" s="19"/>
      <c r="F112" s="19"/>
      <c r="G112" s="28"/>
      <c r="H112" s="19"/>
      <c r="I112" s="19"/>
      <c r="J112" s="19">
        <v>1315</v>
      </c>
      <c r="K112" s="29">
        <f t="shared" si="8"/>
        <v>1.5380116959064327</v>
      </c>
      <c r="L112" s="21">
        <v>855</v>
      </c>
      <c r="M112" s="21">
        <v>62</v>
      </c>
      <c r="N112" s="21" t="s">
        <v>29</v>
      </c>
      <c r="O112" s="23" t="s">
        <v>50</v>
      </c>
      <c r="P112" s="23"/>
      <c r="Q112" s="23"/>
      <c r="R112" s="23"/>
      <c r="S112" s="23"/>
    </row>
    <row r="113" spans="1:19" x14ac:dyDescent="0.25">
      <c r="A113" s="19">
        <v>109</v>
      </c>
      <c r="B113" s="19"/>
      <c r="C113" s="19"/>
      <c r="D113" s="19"/>
      <c r="E113" s="19"/>
      <c r="F113" s="19"/>
      <c r="G113" s="28"/>
      <c r="H113" s="19"/>
      <c r="I113" s="19"/>
      <c r="J113" s="19">
        <v>787</v>
      </c>
      <c r="K113" s="29">
        <f t="shared" si="8"/>
        <v>1.2693548387096774</v>
      </c>
      <c r="L113" s="21">
        <v>620</v>
      </c>
      <c r="M113" s="21">
        <v>64</v>
      </c>
      <c r="N113" s="21" t="s">
        <v>29</v>
      </c>
      <c r="O113" s="23" t="s">
        <v>32</v>
      </c>
      <c r="P113" s="23"/>
      <c r="Q113" s="23"/>
      <c r="R113" s="23"/>
      <c r="S113" s="23"/>
    </row>
    <row r="114" spans="1:19" x14ac:dyDescent="0.25">
      <c r="A114" s="19">
        <v>110</v>
      </c>
      <c r="B114" s="19"/>
      <c r="C114" s="19"/>
      <c r="D114" s="19"/>
      <c r="E114" s="19"/>
      <c r="F114" s="19"/>
      <c r="G114" s="28"/>
      <c r="H114" s="19"/>
      <c r="I114" s="19"/>
      <c r="J114" s="19">
        <v>655</v>
      </c>
      <c r="K114" s="29">
        <f t="shared" si="8"/>
        <v>1.3589211618257262</v>
      </c>
      <c r="L114" s="21">
        <v>482</v>
      </c>
      <c r="M114" s="21">
        <v>22</v>
      </c>
      <c r="N114" s="21" t="s">
        <v>29</v>
      </c>
      <c r="O114" s="23" t="s">
        <v>40</v>
      </c>
      <c r="P114" s="23"/>
      <c r="Q114" s="23"/>
      <c r="R114" s="23"/>
      <c r="S114" s="23"/>
    </row>
    <row r="115" spans="1:19" x14ac:dyDescent="0.25">
      <c r="A115" s="19">
        <v>111</v>
      </c>
      <c r="B115" s="19"/>
      <c r="C115" s="19"/>
      <c r="D115" s="19"/>
      <c r="E115" s="19"/>
      <c r="F115" s="19"/>
      <c r="G115" s="28"/>
      <c r="H115" s="19"/>
      <c r="I115" s="19"/>
      <c r="J115" s="19">
        <v>921</v>
      </c>
      <c r="K115" s="29">
        <f t="shared" si="8"/>
        <v>1.1868556701030928</v>
      </c>
      <c r="L115" s="21">
        <v>776</v>
      </c>
      <c r="M115" s="21">
        <v>47</v>
      </c>
      <c r="N115" s="21" t="s">
        <v>29</v>
      </c>
      <c r="O115" s="23" t="s">
        <v>42</v>
      </c>
      <c r="P115" s="23"/>
      <c r="Q115" s="23"/>
      <c r="R115" s="23"/>
      <c r="S115" s="23"/>
    </row>
    <row r="116" spans="1:19" x14ac:dyDescent="0.25">
      <c r="A116" s="19">
        <v>112</v>
      </c>
      <c r="B116" s="19"/>
      <c r="C116" s="19"/>
      <c r="D116" s="19"/>
      <c r="E116" s="19"/>
      <c r="F116" s="19"/>
      <c r="G116" s="28"/>
      <c r="H116" s="19"/>
      <c r="I116" s="19"/>
      <c r="J116" s="19">
        <v>1316</v>
      </c>
      <c r="K116" s="29">
        <f t="shared" si="8"/>
        <v>1.3651452282157677</v>
      </c>
      <c r="L116" s="21">
        <v>964</v>
      </c>
      <c r="M116" s="21">
        <v>23</v>
      </c>
      <c r="N116" s="21" t="s">
        <v>29</v>
      </c>
      <c r="O116" s="23" t="s">
        <v>40</v>
      </c>
      <c r="P116" s="23"/>
      <c r="Q116" s="23"/>
      <c r="R116" s="23"/>
      <c r="S116" s="23"/>
    </row>
    <row r="117" spans="1:19" x14ac:dyDescent="0.25">
      <c r="A117" s="19">
        <v>113</v>
      </c>
      <c r="B117" s="19"/>
      <c r="C117" s="19"/>
      <c r="D117" s="19"/>
      <c r="E117" s="19"/>
      <c r="F117" s="19"/>
      <c r="G117" s="28"/>
      <c r="H117" s="19"/>
      <c r="I117" s="19"/>
      <c r="J117" s="19">
        <v>562</v>
      </c>
      <c r="K117" s="29">
        <f t="shared" si="8"/>
        <v>1.3317535545023698</v>
      </c>
      <c r="L117" s="21">
        <v>422</v>
      </c>
      <c r="M117" s="21">
        <v>33</v>
      </c>
      <c r="N117" s="21" t="s">
        <v>29</v>
      </c>
      <c r="O117" s="23" t="s">
        <v>32</v>
      </c>
      <c r="P117" s="23"/>
      <c r="Q117" s="23"/>
      <c r="R117" s="23"/>
      <c r="S117" s="23"/>
    </row>
    <row r="118" spans="1:19" x14ac:dyDescent="0.25">
      <c r="A118" s="19">
        <v>114</v>
      </c>
      <c r="B118" s="19"/>
      <c r="C118" s="19"/>
      <c r="D118" s="19"/>
      <c r="E118" s="19"/>
      <c r="F118" s="19"/>
      <c r="G118" s="28"/>
      <c r="H118" s="19"/>
      <c r="I118" s="19"/>
      <c r="J118" s="19">
        <v>715</v>
      </c>
      <c r="K118" s="29">
        <f t="shared" si="8"/>
        <v>1.3095238095238095</v>
      </c>
      <c r="L118" s="21">
        <v>546</v>
      </c>
      <c r="M118" s="21">
        <v>21</v>
      </c>
      <c r="N118" s="21" t="s">
        <v>29</v>
      </c>
      <c r="O118" s="23" t="s">
        <v>32</v>
      </c>
      <c r="P118" s="23"/>
      <c r="Q118" s="23"/>
      <c r="R118" s="23"/>
      <c r="S118" s="23"/>
    </row>
    <row r="119" spans="1:19" x14ac:dyDescent="0.25">
      <c r="A119" s="19">
        <v>115</v>
      </c>
      <c r="B119" s="19"/>
      <c r="C119" s="19"/>
      <c r="D119" s="19"/>
      <c r="E119" s="19"/>
      <c r="F119" s="19"/>
      <c r="G119" s="28"/>
      <c r="H119" s="19"/>
      <c r="I119" s="19"/>
      <c r="J119" s="19">
        <v>1435</v>
      </c>
      <c r="K119" s="29">
        <f t="shared" si="8"/>
        <v>1.2402765773552291</v>
      </c>
      <c r="L119" s="21">
        <v>1157</v>
      </c>
      <c r="M119" s="21">
        <v>430</v>
      </c>
      <c r="N119" s="21" t="s">
        <v>31</v>
      </c>
      <c r="O119" s="23" t="s">
        <v>42</v>
      </c>
      <c r="P119" s="23"/>
      <c r="Q119" s="23"/>
      <c r="R119" s="23"/>
      <c r="S119" s="23"/>
    </row>
    <row r="120" spans="1:19" x14ac:dyDescent="0.25">
      <c r="A120" s="19">
        <v>116</v>
      </c>
      <c r="B120" s="19"/>
      <c r="C120" s="19"/>
      <c r="D120" s="19"/>
      <c r="E120" s="19"/>
      <c r="F120" s="19"/>
      <c r="G120" s="28"/>
      <c r="H120" s="19"/>
      <c r="I120" s="19"/>
      <c r="J120" s="19">
        <v>1028</v>
      </c>
      <c r="K120" s="29">
        <f t="shared" si="8"/>
        <v>1.4062927496580027</v>
      </c>
      <c r="L120" s="21">
        <v>731</v>
      </c>
      <c r="M120" s="21">
        <v>39</v>
      </c>
      <c r="N120" s="21" t="s">
        <v>31</v>
      </c>
      <c r="O120" s="23" t="s">
        <v>40</v>
      </c>
      <c r="P120" s="23"/>
      <c r="Q120" s="23"/>
      <c r="R120" s="23"/>
      <c r="S120" s="23"/>
    </row>
    <row r="121" spans="1:19" x14ac:dyDescent="0.25">
      <c r="A121" s="19">
        <v>117</v>
      </c>
      <c r="B121" s="19"/>
      <c r="C121" s="19"/>
      <c r="D121" s="19"/>
      <c r="E121" s="19"/>
      <c r="F121" s="19"/>
      <c r="G121" s="28"/>
      <c r="H121" s="19"/>
      <c r="I121" s="19"/>
      <c r="J121" s="19">
        <v>956</v>
      </c>
      <c r="K121" s="29">
        <f t="shared" si="8"/>
        <v>1.4775888717156105</v>
      </c>
      <c r="L121" s="21">
        <v>647</v>
      </c>
      <c r="M121" s="21">
        <v>5</v>
      </c>
      <c r="N121" s="21" t="s">
        <v>31</v>
      </c>
      <c r="O121" s="23" t="s">
        <v>50</v>
      </c>
      <c r="P121" s="23"/>
      <c r="Q121" s="23"/>
      <c r="R121" s="23"/>
      <c r="S121" s="23"/>
    </row>
    <row r="122" spans="1:19" x14ac:dyDescent="0.25">
      <c r="A122" s="19">
        <v>118</v>
      </c>
      <c r="B122" s="19"/>
      <c r="C122" s="19"/>
      <c r="D122" s="19"/>
      <c r="E122" s="19"/>
      <c r="F122" s="19"/>
      <c r="G122" s="28"/>
      <c r="H122" s="19"/>
      <c r="I122" s="19"/>
      <c r="J122" s="19">
        <v>636</v>
      </c>
      <c r="K122" s="29">
        <f t="shared" si="8"/>
        <v>1.6020151133501259</v>
      </c>
      <c r="L122" s="21">
        <v>397</v>
      </c>
      <c r="M122" s="21">
        <v>3</v>
      </c>
      <c r="N122" s="21" t="s">
        <v>31</v>
      </c>
      <c r="O122" s="23" t="s">
        <v>30</v>
      </c>
      <c r="P122" s="23"/>
      <c r="Q122" s="23"/>
      <c r="R122" s="23"/>
      <c r="S122" s="23"/>
    </row>
    <row r="123" spans="1:19" x14ac:dyDescent="0.25">
      <c r="A123" s="19">
        <v>119</v>
      </c>
      <c r="B123" s="19"/>
      <c r="C123" s="19"/>
      <c r="D123" s="19"/>
      <c r="E123" s="19"/>
      <c r="F123" s="19"/>
      <c r="G123" s="28"/>
      <c r="H123" s="19"/>
      <c r="I123" s="19"/>
      <c r="J123" s="19">
        <v>874</v>
      </c>
      <c r="K123" s="29">
        <f t="shared" si="8"/>
        <v>1.7204724409448819</v>
      </c>
      <c r="L123" s="21">
        <v>508</v>
      </c>
      <c r="M123" s="21">
        <v>2</v>
      </c>
      <c r="N123" s="21" t="s">
        <v>31</v>
      </c>
      <c r="O123" s="23" t="s">
        <v>30</v>
      </c>
      <c r="P123" s="23"/>
      <c r="Q123" s="23"/>
      <c r="R123" s="23"/>
      <c r="S123" s="23"/>
    </row>
    <row r="124" spans="1:19" x14ac:dyDescent="0.25">
      <c r="A124" s="19">
        <v>120</v>
      </c>
      <c r="B124" s="19"/>
      <c r="C124" s="19"/>
      <c r="D124" s="19"/>
      <c r="E124" s="19"/>
      <c r="F124" s="19"/>
      <c r="G124" s="28"/>
      <c r="H124" s="19"/>
      <c r="I124" s="19"/>
      <c r="J124" s="19">
        <v>1122</v>
      </c>
      <c r="K124" s="29">
        <f t="shared" si="8"/>
        <v>1.6074498567335243</v>
      </c>
      <c r="L124" s="21">
        <v>698</v>
      </c>
      <c r="M124" s="21">
        <v>68</v>
      </c>
      <c r="N124" s="21" t="s">
        <v>31</v>
      </c>
      <c r="O124" s="23" t="s">
        <v>30</v>
      </c>
      <c r="P124" s="23"/>
      <c r="Q124" s="23"/>
      <c r="R124" s="23"/>
      <c r="S124" s="23"/>
    </row>
    <row r="125" spans="1:19" x14ac:dyDescent="0.25">
      <c r="A125" s="19">
        <v>121</v>
      </c>
      <c r="B125" s="19"/>
      <c r="C125" s="19"/>
      <c r="D125" s="19"/>
      <c r="E125" s="19"/>
      <c r="F125" s="19"/>
      <c r="G125" s="28"/>
      <c r="H125" s="19"/>
      <c r="I125" s="19"/>
      <c r="J125" s="19">
        <v>1338</v>
      </c>
      <c r="K125" s="29">
        <f t="shared" si="8"/>
        <v>1.4687156970362238</v>
      </c>
      <c r="L125" s="21">
        <v>911</v>
      </c>
      <c r="M125" s="21">
        <v>50</v>
      </c>
      <c r="N125" s="21" t="s">
        <v>31</v>
      </c>
      <c r="O125" s="23" t="s">
        <v>50</v>
      </c>
      <c r="P125" s="23"/>
      <c r="Q125" s="23"/>
      <c r="R125" s="23"/>
      <c r="S125" s="23"/>
    </row>
    <row r="126" spans="1:19" x14ac:dyDescent="0.25">
      <c r="A126" s="19">
        <v>122</v>
      </c>
      <c r="B126" s="19"/>
      <c r="C126" s="19"/>
      <c r="D126" s="19"/>
      <c r="E126" s="19"/>
      <c r="F126" s="19"/>
      <c r="G126" s="28"/>
      <c r="H126" s="19"/>
      <c r="I126" s="19"/>
      <c r="J126" s="19">
        <v>812</v>
      </c>
      <c r="K126" s="29">
        <f t="shared" si="8"/>
        <v>1.0490956072351421</v>
      </c>
      <c r="L126" s="21">
        <v>774</v>
      </c>
      <c r="M126" s="21">
        <v>200</v>
      </c>
      <c r="N126" s="21" t="s">
        <v>31</v>
      </c>
      <c r="O126" s="23" t="s">
        <v>35</v>
      </c>
      <c r="P126" s="23"/>
      <c r="Q126" s="23"/>
      <c r="R126" s="23"/>
      <c r="S126" s="23"/>
    </row>
    <row r="127" spans="1:19" x14ac:dyDescent="0.25">
      <c r="A127" s="19">
        <v>123</v>
      </c>
      <c r="B127" s="19"/>
      <c r="C127" s="19"/>
      <c r="D127" s="19"/>
      <c r="E127" s="19"/>
      <c r="F127" s="19"/>
      <c r="G127" s="28"/>
      <c r="H127" s="19"/>
      <c r="I127" s="19"/>
      <c r="J127" s="19">
        <v>960</v>
      </c>
      <c r="K127" s="29">
        <f t="shared" si="8"/>
        <v>1.0896708286038592</v>
      </c>
      <c r="L127" s="21">
        <v>881</v>
      </c>
      <c r="M127" s="21">
        <v>154</v>
      </c>
      <c r="N127" s="21" t="s">
        <v>31</v>
      </c>
      <c r="O127" s="23" t="s">
        <v>35</v>
      </c>
      <c r="P127" s="23"/>
      <c r="Q127" s="23"/>
      <c r="R127" s="23"/>
      <c r="S127" s="23"/>
    </row>
    <row r="128" spans="1:19" x14ac:dyDescent="0.25">
      <c r="A128" s="19">
        <v>124</v>
      </c>
      <c r="B128" s="19"/>
      <c r="C128" s="19"/>
      <c r="D128" s="19"/>
      <c r="E128" s="19"/>
      <c r="F128" s="19"/>
      <c r="G128" s="28"/>
      <c r="H128" s="19"/>
      <c r="I128" s="19"/>
      <c r="J128" s="19">
        <v>989</v>
      </c>
      <c r="K128" s="29">
        <f t="shared" si="8"/>
        <v>1.2534854245880862</v>
      </c>
      <c r="L128" s="21">
        <v>789</v>
      </c>
      <c r="M128" s="21">
        <v>117</v>
      </c>
      <c r="N128" s="21" t="s">
        <v>31</v>
      </c>
      <c r="O128" s="23" t="s">
        <v>42</v>
      </c>
      <c r="P128" s="23"/>
      <c r="Q128" s="23"/>
      <c r="R128" s="23"/>
      <c r="S128" s="23"/>
    </row>
    <row r="129" spans="1:19" x14ac:dyDescent="0.25">
      <c r="A129" s="19">
        <v>125</v>
      </c>
      <c r="B129" s="19"/>
      <c r="C129" s="19"/>
      <c r="D129" s="19"/>
      <c r="E129" s="19"/>
      <c r="F129" s="19"/>
      <c r="G129" s="28"/>
      <c r="H129" s="19"/>
      <c r="I129" s="19"/>
      <c r="J129" s="19">
        <v>1027</v>
      </c>
      <c r="K129" s="29">
        <f t="shared" si="8"/>
        <v>1.3953804347826086</v>
      </c>
      <c r="L129" s="21">
        <v>736</v>
      </c>
      <c r="M129" s="21">
        <v>30</v>
      </c>
      <c r="N129" s="21" t="s">
        <v>31</v>
      </c>
      <c r="O129" s="23" t="s">
        <v>40</v>
      </c>
      <c r="P129" s="23"/>
      <c r="Q129" s="23"/>
      <c r="R129" s="23"/>
      <c r="S129" s="23"/>
    </row>
  </sheetData>
  <mergeCells count="5">
    <mergeCell ref="C1:L1"/>
    <mergeCell ref="Q2:S2"/>
    <mergeCell ref="Q3:R3"/>
    <mergeCell ref="L2:N2"/>
    <mergeCell ref="O1:S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BSII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2025-11-24T08:36:53Z</dcterms:created>
  <dcterms:modified xsi:type="dcterms:W3CDTF">2025-12-01T05:30:22Z</dcterms:modified>
</cp:coreProperties>
</file>